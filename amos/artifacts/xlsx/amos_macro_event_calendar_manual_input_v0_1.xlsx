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3567947cd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73781de74c4d84"/>
    <x:sheet xmlns:r="http://schemas.openxmlformats.org/officeDocument/2006/relationships" name="Event Calendar" sheetId="2" r:id="R0d5e2aca0e1647ec"/>
    <x:sheet xmlns:r="http://schemas.openxmlformats.org/officeDocument/2006/relationships" name="Weekly Risk View" sheetId="3" r:id="Rdcb90247469544eb"/>
    <x:sheet xmlns:r="http://schemas.openxmlformats.org/officeDocument/2006/relationships" name="Event Categories" sheetId="4" r:id="Rd71015dd9e924d7f"/>
    <x:sheet xmlns:r="http://schemas.openxmlformats.org/officeDocument/2006/relationships" name="Official Sources" sheetId="5" r:id="R1e8c2034f2fc408e"/>
    <x:sheet xmlns:r="http://schemas.openxmlformats.org/officeDocument/2006/relationships" name="Lists" sheetId="6" r:id="R60b4f487cb22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698a965f04174" /><Relationship Type="http://schemas.openxmlformats.org/officeDocument/2006/relationships/theme" Target="/xl/theme/theme1.xml" Id="Rf4a50d1c60f548ad" /><Relationship Type="http://schemas.openxmlformats.org/officeDocument/2006/relationships/sharedStrings" Target="/xl/sharedStrings.xml" Id="Rc73701a187ca4f67" /><Relationship Type="http://schemas.openxmlformats.org/officeDocument/2006/relationships/worksheet" Target="/xl/worksheets/sheet1.xml" Id="R8e73781de74c4d84" /><Relationship Type="http://schemas.openxmlformats.org/officeDocument/2006/relationships/worksheet" Target="/xl/worksheets/sheet2.xml" Id="R0d5e2aca0e1647ec" /><Relationship Type="http://schemas.openxmlformats.org/officeDocument/2006/relationships/worksheet" Target="/xl/worksheets/sheet3.xml" Id="Rdcb90247469544eb" /><Relationship Type="http://schemas.openxmlformats.org/officeDocument/2006/relationships/worksheet" Target="/xl/worksheets/sheet4.xml" Id="Rd71015dd9e924d7f" /><Relationship Type="http://schemas.openxmlformats.org/officeDocument/2006/relationships/worksheet" Target="/xl/worksheets/sheet5.xml" Id="R1e8c2034f2fc408e" /><Relationship Type="http://schemas.openxmlformats.org/officeDocument/2006/relationships/worksheet" Target="/xl/worksheets/sheet6.xml" Id="R60b4f487cb2241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4c9b5719a44d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a44ac27bf3a40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Macro Event Calendar KPI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'Overview'!$A$7:$A$10</c:f>
              <c:strCache>
                <c:ptCount val="0"/>
              </c:strCache>
            </c:strRef>
          </c:cat>
          <c:val>
            <c:numRef>
              <c:f>'Overview'!$B$7:$B$10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Critical/High Event Count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Week End</c:v>
          </c:tx>
          <c:cat>
            <c:strRef>
              <c:f>'Weekly Risk View'!$A$3:$A$6</c:f>
              <c:strCache>
                <c:ptCount val="0"/>
              </c:strCache>
            </c:strRef>
          </c:cat>
          <c:val>
            <c:numRef>
              <c:f>'Weekly Risk View'!$B$3:$B$6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Critical Events</c:v>
          </c:tx>
          <c:cat>
            <c:strRef>
              <c:f>'Weekly Risk View'!$A$3:$A$6</c:f>
              <c:strCache>
                <c:ptCount val="0"/>
              </c:strCache>
            </c:strRef>
          </c:cat>
          <c:val>
            <c:numRef>
              <c:f>'Weekly Risk View'!$C$3:$C$6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High Events</c:v>
          </c:tx>
          <c:cat>
            <c:strRef>
              <c:f>'Weekly Risk View'!$A$3:$A$6</c:f>
              <c:strCache>
                <c:ptCount val="0"/>
              </c:strCache>
            </c:strRef>
          </c:cat>
          <c:val>
            <c:numRef>
              <c:f>'Weekly Risk View'!$D$3:$D$6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No Attack Days</c:v>
          </c:tx>
          <c:cat>
            <c:strRef>
              <c:f>'Weekly Risk View'!$A$3:$A$6</c:f>
              <c:strCache>
                <c:ptCount val="0"/>
              </c:strCache>
            </c:strRef>
          </c:cat>
          <c:val>
            <c:numRef>
              <c:f>'Weekly Risk View'!$E$3:$E$6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4c9b5719a44d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44ac27bf3a40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croEventCalendarTable" displayName="MacroEventCalendarTable" ref="A1:R20" headerRowCount="1">
  <x:tableColumns count="18">
    <x:tableColumn id="1" name="Event ID"/>
    <x:tableColumn id="2" name="Event Date"/>
    <x:tableColumn id="3" name="Event Time ET"/>
    <x:tableColumn id="4" name="Event Category"/>
    <x:tableColumn id="5" name="Event Name"/>
    <x:tableColumn id="6" name="Ticker / Asset Scope"/>
    <x:tableColumn id="7" name="Importance"/>
    <x:tableColumn id="8" name="Risk Mode"/>
    <x:tableColumn id="9" name="Expected Market Impact"/>
    <x:tableColumn id="10" name="Pre-Event Action Cap"/>
    <x:tableColumn id="11" name="Post-Event Review Required?"/>
    <x:tableColumn id="12" name="Source Name"/>
    <x:tableColumn id="13" name="Source URL"/>
    <x:tableColumn id="14" name="Status"/>
    <x:tableColumn id="15" name="Actual Result / Surprise"/>
    <x:tableColumn id="16" name="Market Reaction"/>
    <x:tableColumn id="17" name="AMOS Notes"/>
    <x:tableColumn id="18" name="Updated At"/>
  </x:tableColumns>
  <x:tableStyleInfo name="TableStyleMedium2" showRowStripes="1"/>
</x:table>
</file>

<file path=xl/tables/table2.xml><?xml version="1.0" encoding="utf-8"?>
<x:table xmlns:x="http://schemas.openxmlformats.org/spreadsheetml/2006/main" id="2" name="WeeklyRiskViewTable" displayName="WeeklyRiskViewTable" ref="A2:G6" headerRowCount="1">
  <x:tableColumns count="7">
    <x:tableColumn id="1" name="Week Start"/>
    <x:tableColumn id="2" name="Week End"/>
    <x:tableColumn id="3" name="Critical Events"/>
    <x:tableColumn id="4" name="High Events"/>
    <x:tableColumn id="5" name="No Attack Days"/>
    <x:tableColumn id="6" name="Main Risk"/>
    <x:tableColumn id="7" name="Action Bias"/>
  </x:tableColumns>
  <x:tableStyleInfo name="TableStyleMedium2" showRowStripes="1"/>
</x:table>
</file>

<file path=xl/tables/table3.xml><?xml version="1.0" encoding="utf-8"?>
<x:table xmlns:x="http://schemas.openxmlformats.org/spreadsheetml/2006/main" id="3" name="EventCategoriesTable" displayName="EventCategoriesTable" ref="A1:D10" headerRowCount="1">
  <x:tableColumns count="4">
    <x:tableColumn id="1" name="Category"/>
    <x:tableColumn id="2" name="Why It Matters"/>
    <x:tableColumn id="3" name="Default Action Cap"/>
    <x:tableColumn id="4" name="User Relevance"/>
  </x:tableColumns>
  <x:tableStyleInfo name="TableStyleMedium2" showRowStripes="1"/>
</x:table>
</file>

<file path=xl/tables/table4.xml><?xml version="1.0" encoding="utf-8"?>
<x:table xmlns:x="http://schemas.openxmlformats.org/spreadsheetml/2006/main" id="4" name="OfficialSourcesTable" displayName="OfficialSourcesTable" ref="A1:D8" headerRowCount="1">
  <x:tableColumns count="4">
    <x:tableColumn id="1" name="Source"/>
    <x:tableColumn id="2" name="Use"/>
    <x:tableColumn id="3" name="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21baa3131e4b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dd3af63a9f4c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d10f7c47eac4e5e" /><Relationship Type="http://schemas.openxmlformats.org/officeDocument/2006/relationships/table" Target="/xl/tables/table2.xml" Id="Rc0d133e8b5e54b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e3e86859946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60daf45a6d4a1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AMOS Macro Event Calendar Manual Input v0.1</x:v>
      </x:c>
      <x:c r="B1" s="12" t="str"/>
      <x:c r="C1" s="12" t="str"/>
      <x:c r="D1" s="12" t="str"/>
      <x:c r="E1" s="12" t="str"/>
      <x:c r="F1" s="12" t="str"/>
    </x:row>
    <x:row r="2">
      <x:c r="A2" s="26" t="str">
        <x:v>Purpose</x:v>
      </x:c>
      <x:c r="B2" s="26" t="str">
        <x:v>Manual event calendar for CPI/PCE/NFP/FOMC/OPEX/Treasury auctions/earnings/BTC/AI events.</x:v>
      </x:c>
      <x:c r="C2" s="26" t="str"/>
      <x:c r="D2" s="26" t="str"/>
      <x:c r="E2" s="26" t="str"/>
      <x:c r="F2" s="26" t="str"/>
    </x:row>
    <x:row r="3">
      <x:c r="A3" s="26" t="str">
        <x:v>Current Date</x:v>
      </x:c>
      <x:c r="B3" s="26" t="str">
        <x:v>2026-05-24</x:v>
      </x:c>
      <x:c r="C3" s="26" t="str">
        <x:v>Mode</x:v>
      </x:c>
      <x:c r="D3" s="26" t="str">
        <x:v>Manual Alpha</x:v>
      </x:c>
      <x:c r="E3" s="26" t="str">
        <x:v>Next</x:v>
      </x:c>
      <x:c r="F3" s="26" t="str">
        <x:v>Link to Daily Brief / Action Caps</x:v>
      </x:c>
    </x:row>
    <x:row r="4">
      <x:c r="A4" s="26" t="str">
        <x:v>Gating Rule</x:v>
      </x:c>
      <x:c r="B4" s="26" t="str">
        <x:v>Critical events default to No Attack unless setup is already confirmed and risk is explicitly accepted.</x:v>
      </x:c>
      <x:c r="C4" s="26" t="str"/>
      <x:c r="D4" s="26" t="str"/>
      <x:c r="E4" s="26" t="str"/>
      <x:c r="F4" s="26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9" t="str">
        <x:v>Dashboard KPI</x:v>
      </x:c>
      <x:c r="B6" s="9" t="str">
        <x:v>Value</x:v>
      </x:c>
      <x:c r="C6" s="9" t="str">
        <x:v>Formula/Meaning</x:v>
      </x:c>
      <x:c r="D6" s="9" t="str"/>
      <x:c r="E6" s="9" t="str"/>
      <x:c r="F6" s="9" t="str"/>
    </x:row>
    <x:row r="7">
      <x:c r="A7" s="12" t="str">
        <x:v>Total Events</x:v>
      </x:c>
      <x:c r="B7" s="12" t="n">
        <x:f>COUNTA('Event Calendar'!A2:A200)</x:f>
        <x:v>8</x:v>
      </x:c>
      <x:c r="C7" s="12" t="str">
        <x:v>Total planned events</x:v>
      </x:c>
      <x:c r="D7" s="12" t="str"/>
      <x:c r="E7" s="12" t="str"/>
      <x:c r="F7" s="12" t="str"/>
    </x:row>
    <x:row r="8">
      <x:c r="A8" s="12" t="str">
        <x:v>Critical Events</x:v>
      </x:c>
      <x:c r="B8" s="12" t="n">
        <x:f>COUNTIF('Event Calendar'!G2:G200,"Critical")</x:f>
        <x:v>3</x:v>
      </x:c>
      <x:c r="C8" s="12" t="str">
        <x:v>Default No Attack risk</x:v>
      </x:c>
      <x:c r="D8" s="12" t="str"/>
      <x:c r="E8" s="12" t="str"/>
      <x:c r="F8" s="12" t="str"/>
    </x:row>
    <x:row r="9">
      <x:c r="A9" s="12" t="str">
        <x:v>No Attack Events</x:v>
      </x:c>
      <x:c r="B9" s="12" t="n">
        <x:f>COUNTIF('Event Calendar'!J2:J200,"No Attack")</x:f>
        <x:v>3</x:v>
      </x:c>
      <x:c r="C9" s="12" t="str">
        <x:v>Blocks aggressive action</x:v>
      </x:c>
      <x:c r="D9" s="12" t="str"/>
      <x:c r="E9" s="12" t="str"/>
      <x:c r="F9" s="12" t="str"/>
    </x:row>
    <x:row r="10">
      <x:c r="A10" s="12" t="str">
        <x:v>Post-event Reviews</x:v>
      </x:c>
      <x:c r="B10" s="12" t="n">
        <x:f>COUNTIF('Event Calendar'!K2:K200,"Yes")</x:f>
        <x:v>8</x:v>
      </x:c>
      <x:c r="C10" s="12" t="str">
        <x:v>Need result/reaction review</x:v>
      </x:c>
      <x:c r="D10" s="12" t="str"/>
      <x:c r="E10" s="12" t="str"/>
      <x:c r="F10" s="12" t="str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221baa3131e4b9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8" hidden="0" customWidth="1"/>
    <x:col min="5" max="5" width="36" hidden="0" customWidth="1"/>
    <x:col min="6" max="6" width="34" hidden="0" customWidth="1"/>
    <x:col min="7" max="7" width="12" hidden="0" customWidth="1"/>
    <x:col min="8" max="8" width="18" hidden="0" customWidth="1"/>
    <x:col min="9" max="9" width="42" hidden="0" customWidth="1"/>
    <x:col min="10" max="10" width="20" hidden="0" customWidth="1"/>
    <x:col min="11" max="11" width="24" hidden="0" customWidth="1"/>
    <x:col min="12" max="12" width="26" hidden="0" customWidth="1"/>
    <x:col min="13" max="13" width="55" hidden="0" customWidth="1"/>
    <x:col min="14" max="14" width="14" hidden="0" customWidth="1"/>
    <x:col min="15" max="15" width="34" hidden="0" customWidth="1"/>
    <x:col min="16" max="16" width="34" hidden="0" customWidth="1"/>
    <x:col min="17" max="17" width="36" hidden="0" customWidth="1"/>
    <x:col min="18" max="18" width="13" hidden="0" customWidth="1"/>
  </x:cols>
  <x:sheetData>
    <x:row r="1">
      <x:c r="A1" s="9" t="str">
        <x:v>Event ID</x:v>
      </x:c>
      <x:c r="B1" s="9" t="str">
        <x:v>Event Date</x:v>
      </x:c>
      <x:c r="C1" s="9" t="str">
        <x:v>Event Time ET</x:v>
      </x:c>
      <x:c r="D1" s="9" t="str">
        <x:v>Event Category</x:v>
      </x:c>
      <x:c r="E1" s="9" t="str">
        <x:v>Event Name</x:v>
      </x:c>
      <x:c r="F1" s="9" t="str">
        <x:v>Ticker / Asset Scope</x:v>
      </x:c>
      <x:c r="G1" s="9" t="str">
        <x:v>Importance</x:v>
      </x:c>
      <x:c r="H1" s="9" t="str">
        <x:v>Risk Mode</x:v>
      </x:c>
      <x:c r="I1" s="9" t="str">
        <x:v>Expected Market Impact</x:v>
      </x:c>
      <x:c r="J1" s="9" t="str">
        <x:v>Pre-Event Action Cap</x:v>
      </x:c>
      <x:c r="K1" s="9" t="str">
        <x:v>Post-Event Review Required?</x:v>
      </x:c>
      <x:c r="L1" s="9" t="str">
        <x:v>Source Name</x:v>
      </x:c>
      <x:c r="M1" s="9" t="str">
        <x:v>Source URL</x:v>
      </x:c>
      <x:c r="N1" s="9" t="str">
        <x:v>Status</x:v>
      </x:c>
      <x:c r="O1" s="9" t="str">
        <x:v>Actual Result / Surprise</x:v>
      </x:c>
      <x:c r="P1" s="9" t="str">
        <x:v>Market Reaction</x:v>
      </x:c>
      <x:c r="Q1" s="9" t="str">
        <x:v>AMOS Notes</x:v>
      </x:c>
      <x:c r="R1" s="9" t="str">
        <x:v>Updated At</x:v>
      </x:c>
    </x:row>
    <x:row r="2">
      <x:c r="A2" s="12" t="str">
        <x:v>ME-0001</x:v>
      </x:c>
      <x:c r="B2" s="14" t="str">
        <x:v>2026-06-10</x:v>
      </x:c>
      <x:c r="C2" s="12" t="str">
        <x:v>08:30</x:v>
      </x:c>
      <x:c r="D2" s="12" t="str">
        <x:v>CPI</x:v>
      </x:c>
      <x:c r="E2" s="12" t="str">
        <x:v>CPI for May 2026</x:v>
      </x:c>
      <x:c r="F2" s="12" t="str">
        <x:v>SPY,QQQ,SMH,NVDA,High Beta</x:v>
      </x:c>
      <x:c r="G2" s="12" t="str">
        <x:v>Critical</x:v>
      </x:c>
      <x:c r="H2" s="12" t="str">
        <x:v>Inflation</x:v>
      </x:c>
      <x:c r="I2" s="12" t="str">
        <x:v>Rates / liquidity / growth duration shock</x:v>
      </x:c>
      <x:c r="J2" s="12" t="str">
        <x:v>No Attack</x:v>
      </x:c>
      <x:c r="K2" s="12" t="str">
        <x:v>Yes</x:v>
      </x:c>
      <x:c r="L2" s="12" t="str">
        <x:v>BLS CPI</x:v>
      </x:c>
      <x:c r="M2" s="12" t="str">
        <x:v>https://www.bls.gov/cpi/</x:v>
      </x:c>
      <x:c r="N2" s="12" t="str">
        <x:v>Planned</x:v>
      </x:c>
      <x:c r="O2" s="12" t="str"/>
      <x:c r="P2" s="12" t="str"/>
      <x:c r="Q2" s="12" t="str"/>
      <x:c r="R2" s="12" t="str">
        <x:v>2026-05-24</x:v>
      </x:c>
    </x:row>
    <x:row r="3">
      <x:c r="A3" s="12" t="str">
        <x:v>ME-0002</x:v>
      </x:c>
      <x:c r="B3" s="14" t="str">
        <x:v>2026-06-16</x:v>
      </x:c>
      <x:c r="C3" s="12" t="str">
        <x:v>TBD</x:v>
      </x:c>
      <x:c r="D3" s="12" t="str">
        <x:v>FOMC</x:v>
      </x:c>
      <x:c r="E3" s="12" t="str">
        <x:v>FOMC meeting day 1</x:v>
      </x:c>
      <x:c r="F3" s="12" t="str">
        <x:v>SPY,QQQ,TLT,DXY,BTC,High Beta</x:v>
      </x:c>
      <x:c r="G3" s="12" t="str">
        <x:v>Critical</x:v>
      </x:c>
      <x:c r="H3" s="12" t="str">
        <x:v>Rates</x:v>
      </x:c>
      <x:c r="I3" s="12" t="str">
        <x:v>Pre-FOMC positioning / volatility compression</x:v>
      </x:c>
      <x:c r="J3" s="12" t="str">
        <x:v>No Attack</x:v>
      </x:c>
      <x:c r="K3" s="12" t="str">
        <x:v>Yes</x:v>
      </x:c>
      <x:c r="L3" s="12" t="str">
        <x:v>Federal Reserve FOMC Calendar</x:v>
      </x:c>
      <x:c r="M3" s="12" t="str">
        <x:v>https://www.federalreserve.gov/monetarypolicy/fomccalendars.htm</x:v>
      </x:c>
      <x:c r="N3" s="12" t="str">
        <x:v>Planned</x:v>
      </x:c>
      <x:c r="O3" s="12" t="str"/>
      <x:c r="P3" s="12" t="str"/>
      <x:c r="Q3" s="12" t="str"/>
      <x:c r="R3" s="12" t="str">
        <x:v>2026-05-24</x:v>
      </x:c>
    </x:row>
    <x:row r="4">
      <x:c r="A4" s="12" t="str">
        <x:v>ME-0003</x:v>
      </x:c>
      <x:c r="B4" s="14" t="str">
        <x:v>2026-06-17</x:v>
      </x:c>
      <x:c r="C4" s="12" t="str">
        <x:v>14:00</x:v>
      </x:c>
      <x:c r="D4" s="12" t="str">
        <x:v>FOMC</x:v>
      </x:c>
      <x:c r="E4" s="12" t="str">
        <x:v>FOMC decision / SEP / press conference</x:v>
      </x:c>
      <x:c r="F4" s="12" t="str">
        <x:v>SPY,QQQ,TLT,DXY,BTC,High Beta</x:v>
      </x:c>
      <x:c r="G4" s="12" t="str">
        <x:v>Critical</x:v>
      </x:c>
      <x:c r="H4" s="12" t="str">
        <x:v>Rates</x:v>
      </x:c>
      <x:c r="I4" s="12" t="str">
        <x:v>Policy rate / dot plot / chair language risk</x:v>
      </x:c>
      <x:c r="J4" s="12" t="str">
        <x:v>No Attack</x:v>
      </x:c>
      <x:c r="K4" s="12" t="str">
        <x:v>Yes</x:v>
      </x:c>
      <x:c r="L4" s="12" t="str">
        <x:v>Federal Reserve FOMC Calendar</x:v>
      </x:c>
      <x:c r="M4" s="12" t="str">
        <x:v>https://www.federalreserve.gov/monetarypolicy/fomccalendars.htm</x:v>
      </x:c>
      <x:c r="N4" s="12" t="str">
        <x:v>Planned</x:v>
      </x:c>
      <x:c r="O4" s="12" t="str"/>
      <x:c r="P4" s="12" t="str"/>
      <x:c r="Q4" s="12" t="str"/>
      <x:c r="R4" s="12" t="str">
        <x:v>2026-05-24</x:v>
      </x:c>
    </x:row>
    <x:row r="5">
      <x:c r="A5" s="12" t="str">
        <x:v>ME-0004</x:v>
      </x:c>
      <x:c r="B5" s="14" t="str">
        <x:v>2026-05-26</x:v>
      </x:c>
      <x:c r="C5" s="12" t="str">
        <x:v>TBD</x:v>
      </x:c>
      <x:c r="D5" s="12" t="str">
        <x:v>Treasury Auction</x:v>
      </x:c>
      <x:c r="E5" s="12" t="str">
        <x:v>Upcoming Treasury auctions</x:v>
      </x:c>
      <x:c r="F5" s="12" t="str">
        <x:v>TLT,10Y,DXY,QQQ,High Beta</x:v>
      </x:c>
      <x:c r="G5" s="12" t="str">
        <x:v>High</x:v>
      </x:c>
      <x:c r="H5" s="12" t="str">
        <x:v>Rates/Liquidity</x:v>
      </x:c>
      <x:c r="I5" s="12" t="str">
        <x:v>Auction tail/stop-through can move yields and beta</x:v>
      </x:c>
      <x:c r="J5" s="12" t="str">
        <x:v>Build/Hold Only</x:v>
      </x:c>
      <x:c r="K5" s="12" t="str">
        <x:v>Yes</x:v>
      </x:c>
      <x:c r="L5" s="12" t="str">
        <x:v>TreasuryDirect Upcoming Auctions</x:v>
      </x:c>
      <x:c r="M5" s="12" t="str">
        <x:v>https://www.treasurydirect.gov/auctions/upcoming/</x:v>
      </x:c>
      <x:c r="N5" s="12" t="str">
        <x:v>Planned</x:v>
      </x:c>
      <x:c r="O5" s="12" t="str"/>
      <x:c r="P5" s="12" t="str"/>
      <x:c r="Q5" s="12" t="str"/>
      <x:c r="R5" s="12" t="str">
        <x:v>2026-05-24</x:v>
      </x:c>
    </x:row>
    <x:row r="6">
      <x:c r="A6" s="12" t="str">
        <x:v>ME-0005</x:v>
      </x:c>
      <x:c r="B6" s="14" t="str">
        <x:v>2026-06-20</x:v>
      </x:c>
      <x:c r="C6" s="12" t="str">
        <x:v>Market Close</x:v>
      </x:c>
      <x:c r="D6" s="12" t="str">
        <x:v>OPEX</x:v>
      </x:c>
      <x:c r="E6" s="12" t="str">
        <x:v>Monthly options expiration</x:v>
      </x:c>
      <x:c r="F6" s="12" t="str">
        <x:v>SPY,QQQ,SMH,Mag7,High Beta</x:v>
      </x:c>
      <x:c r="G6" s="12" t="str">
        <x:v>High</x:v>
      </x:c>
      <x:c r="H6" s="12" t="str">
        <x:v>Mechanical Flow</x:v>
      </x:c>
      <x:c r="I6" s="12" t="str">
        <x:v>Gamma unclench / pin risk / flow reset</x:v>
      </x:c>
      <x:c r="J6" s="12" t="str">
        <x:v>Build/Hold Only</x:v>
      </x:c>
      <x:c r="K6" s="12" t="str">
        <x:v>Yes</x:v>
      </x:c>
      <x:c r="L6" s="12" t="str">
        <x:v>Manual OPEX calendar</x:v>
      </x:c>
      <x:c r="M6" s="12" t="str">
        <x:v>manual</x:v>
      </x:c>
      <x:c r="N6" s="12" t="str">
        <x:v>Planned</x:v>
      </x:c>
      <x:c r="O6" s="12" t="str"/>
      <x:c r="P6" s="12" t="str"/>
      <x:c r="Q6" s="12" t="str"/>
      <x:c r="R6" s="12" t="str">
        <x:v>2026-05-24</x:v>
      </x:c>
    </x:row>
    <x:row r="7">
      <x:c r="A7" s="12" t="str">
        <x:v>ME-0006</x:v>
      </x:c>
      <x:c r="B7" s="14" t="str">
        <x:v>2026-06-30</x:v>
      </x:c>
      <x:c r="C7" s="12" t="str">
        <x:v>Market Close</x:v>
      </x:c>
      <x:c r="D7" s="12" t="str">
        <x:v>Quarter End</x:v>
      </x:c>
      <x:c r="E7" s="12" t="str">
        <x:v>Quarter-end rebalancing / pension flow watch</x:v>
      </x:c>
      <x:c r="F7" s="12" t="str">
        <x:v>SPY,QQQ,TLT,High Beta</x:v>
      </x:c>
      <x:c r="G7" s="12" t="str">
        <x:v>High</x:v>
      </x:c>
      <x:c r="H7" s="12" t="str">
        <x:v>Mechanical Flow</x:v>
      </x:c>
      <x:c r="I7" s="12" t="str">
        <x:v>Month/quarter-end rebalancing and window dressing</x:v>
      </x:c>
      <x:c r="J7" s="12" t="str">
        <x:v>Build/Hold Only</x:v>
      </x:c>
      <x:c r="K7" s="12" t="str">
        <x:v>Yes</x:v>
      </x:c>
      <x:c r="L7" s="12" t="str">
        <x:v>Manual calendar</x:v>
      </x:c>
      <x:c r="M7" s="12" t="str">
        <x:v>manual</x:v>
      </x:c>
      <x:c r="N7" s="12" t="str">
        <x:v>Planned</x:v>
      </x:c>
      <x:c r="O7" s="12" t="str"/>
      <x:c r="P7" s="12" t="str"/>
      <x:c r="Q7" s="12" t="str"/>
      <x:c r="R7" s="12" t="str">
        <x:v>2026-05-24</x:v>
      </x:c>
    </x:row>
    <x:row r="8">
      <x:c r="A8" s="12" t="str">
        <x:v>ME-0007</x:v>
      </x:c>
      <x:c r="B8" s="14" t="str">
        <x:v>2026-06-01</x:v>
      </x:c>
      <x:c r="C8" s="12" t="str">
        <x:v>TBD</x:v>
      </x:c>
      <x:c r="D8" s="12" t="str">
        <x:v>AI Industry Event</x:v>
      </x:c>
      <x:c r="E8" s="12" t="str">
        <x:v>AI/semiconductor industry event placeholder</x:v>
      </x:c>
      <x:c r="F8" s="12" t="str">
        <x:v>NVDA,AVGO,ANET,CRDO,LITE</x:v>
      </x:c>
      <x:c r="G8" s="12" t="str">
        <x:v>Medium</x:v>
      </x:c>
      <x:c r="H8" s="12" t="str">
        <x:v>Narrative</x:v>
      </x:c>
      <x:c r="I8" s="12" t="str">
        <x:v>Narrative acceleration or good-news fade</x:v>
      </x:c>
      <x:c r="J8" s="12" t="str">
        <x:v>No Cap</x:v>
      </x:c>
      <x:c r="K8" s="12" t="str">
        <x:v>Yes</x:v>
      </x:c>
      <x:c r="L8" s="12" t="str">
        <x:v>Company IR / conference pages</x:v>
      </x:c>
      <x:c r="M8" s="12" t="str">
        <x:v>manual</x:v>
      </x:c>
      <x:c r="N8" s="12" t="str">
        <x:v>Planned</x:v>
      </x:c>
      <x:c r="O8" s="12" t="str"/>
      <x:c r="P8" s="12" t="str"/>
      <x:c r="Q8" s="12" t="str"/>
      <x:c r="R8" s="12" t="str">
        <x:v>2026-05-24</x:v>
      </x:c>
    </x:row>
    <x:row r="9">
      <x:c r="A9" s="12" t="str">
        <x:v>ME-0008</x:v>
      </x:c>
      <x:c r="B9" s="14" t="str">
        <x:v>2026-06-01</x:v>
      </x:c>
      <x:c r="C9" s="12" t="str">
        <x:v>TBD</x:v>
      </x:c>
      <x:c r="D9" s="12" t="str">
        <x:v>BTC/Crypto Event</x:v>
      </x:c>
      <x:c r="E9" s="12" t="str">
        <x:v>BTC risk regime review</x:v>
      </x:c>
      <x:c r="F9" s="12" t="str">
        <x:v>BTC,IREN,HOOD,COIN,miners</x:v>
      </x:c>
      <x:c r="G9" s="12" t="str">
        <x:v>High</x:v>
      </x:c>
      <x:c r="H9" s="12" t="str">
        <x:v>BTC Risk</x:v>
      </x:c>
      <x:c r="I9" s="12" t="str">
        <x:v>Crypto beta risk-on/off and miner/fintech correlation</x:v>
      </x:c>
      <x:c r="J9" s="12" t="str">
        <x:v>Build/Hold Only</x:v>
      </x:c>
      <x:c r="K9" s="12" t="str">
        <x:v>Yes</x:v>
      </x:c>
      <x:c r="L9" s="12" t="str">
        <x:v>Manual BTC source TBD</x:v>
      </x:c>
      <x:c r="M9" s="12" t="str">
        <x:v>manual</x:v>
      </x:c>
      <x:c r="N9" s="12" t="str">
        <x:v>Planned</x:v>
      </x:c>
      <x:c r="O9" s="12" t="str"/>
      <x:c r="P9" s="12" t="str"/>
      <x:c r="Q9" s="12" t="str"/>
      <x:c r="R9" s="12" t="str">
        <x:v>2026-05-24</x:v>
      </x:c>
    </x:row>
    <x:row r="10">
      <x:c r="A10" s="12"/>
      <x:c r="B10" s="14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>
      <x:c r="A11" s="12"/>
      <x:c r="B11" s="14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>
      <x:c r="A12" s="12"/>
      <x:c r="B12" s="14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>
      <x:c r="A13" s="12"/>
      <x:c r="B13" s="14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>
      <x:c r="A14" s="12"/>
      <x:c r="B14" s="14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>
      <x:c r="A15" s="12"/>
      <x:c r="B15" s="14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>
      <x:c r="A16" s="12"/>
      <x:c r="B16" s="14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>
      <x:c r="A17" s="12"/>
      <x:c r="B17" s="14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>
      <x:c r="A18" s="12"/>
      <x:c r="B18" s="14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>
      <x:c r="A19" s="12"/>
      <x:c r="B19" s="14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>
      <x:c r="A20" s="12"/>
      <x:c r="B20" s="14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>
      <x:c r="A21" s="12"/>
      <x:c r="B21" s="14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>
      <x:c r="A22" s="12"/>
      <x:c r="B22" s="14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>
      <x:c r="A23" s="12"/>
      <x:c r="B23" s="14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>
      <x:c r="A24" s="12"/>
      <x:c r="B24" s="14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>
      <x:c r="A25" s="12"/>
      <x:c r="B25" s="14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>
      <x:c r="A26" s="12"/>
      <x:c r="B26" s="14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>
      <x:c r="A27" s="12"/>
      <x:c r="B27" s="14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>
      <x:c r="A28" s="12"/>
      <x:c r="B28" s="14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>
      <x:c r="A29" s="12"/>
      <x:c r="B29" s="14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>
      <x:c r="A30" s="12"/>
      <x:c r="B30" s="14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>
      <x:c r="A31" s="12"/>
      <x:c r="B31" s="14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>
      <x:c r="A32" s="12"/>
      <x:c r="B32" s="14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>
      <x:c r="A33" s="12"/>
      <x:c r="B33" s="14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>
      <x:c r="A34" s="12"/>
      <x:c r="B34" s="14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>
      <x:c r="A35" s="12"/>
      <x:c r="B35" s="14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>
      <x:c r="A36" s="12"/>
      <x:c r="B36" s="14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>
      <x:c r="A37" s="12"/>
      <x:c r="B37" s="14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>
      <x:c r="A38" s="12"/>
      <x:c r="B38" s="14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>
      <x:c r="A39" s="12"/>
      <x:c r="B39" s="14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2"/>
      <x:c r="B40" s="14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>
      <x:c r="A41" s="12"/>
      <x:c r="B41" s="14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>
      <x:c r="A42" s="12"/>
      <x:c r="B42" s="14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>
      <x:c r="A43" s="12"/>
      <x:c r="B43" s="14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>
      <x:c r="A44" s="12"/>
      <x:c r="B44" s="14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2"/>
      <x:c r="B45" s="14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2"/>
      <x:c r="B46" s="14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2"/>
      <x:c r="B47" s="14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>
      <x:c r="A48" s="12"/>
      <x:c r="B48" s="14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>
      <x:c r="A49" s="12"/>
      <x:c r="B49" s="14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>
      <x:c r="A50" s="12"/>
      <x:c r="B50" s="14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>
      <x:c r="A51" s="12"/>
      <x:c r="B51" s="14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>
      <x:c r="A52" s="12"/>
      <x:c r="B52" s="14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>
      <x:c r="A53" s="12"/>
      <x:c r="B53" s="14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>
      <x:c r="A54" s="12"/>
      <x:c r="B54" s="14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>
      <x:c r="A55" s="12"/>
      <x:c r="B55" s="14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>
      <x:c r="A56" s="12"/>
      <x:c r="B56" s="14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>
      <x:c r="A57" s="12"/>
      <x:c r="B57" s="14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>
      <x:c r="A58" s="12"/>
      <x:c r="B58" s="14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>
      <x:c r="A59" s="12"/>
      <x:c r="B59" s="14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>
      <x:c r="A60" s="12"/>
      <x:c r="B60" s="14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  <x:row r="61">
      <x:c r="A61" s="12"/>
      <x:c r="B61" s="14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2"/>
      <x:c r="B62" s="14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</x:row>
    <x:row r="63">
      <x:c r="A63" s="12"/>
      <x:c r="B63" s="14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</x:row>
    <x:row r="64">
      <x:c r="A64" s="12"/>
      <x:c r="B64" s="14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</x:row>
    <x:row r="65">
      <x:c r="A65" s="12"/>
      <x:c r="B65" s="14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</x:row>
    <x:row r="66">
      <x:c r="A66" s="12"/>
      <x:c r="B66" s="14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</x:row>
    <x:row r="67">
      <x:c r="A67" s="12"/>
      <x:c r="B67" s="14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2"/>
      <x:c r="B68" s="14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2"/>
      <x:c r="B69" s="14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2"/>
      <x:c r="B70" s="14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</x:row>
    <x:row r="71">
      <x:c r="A71" s="12"/>
      <x:c r="B71" s="14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</x:row>
    <x:row r="72">
      <x:c r="A72" s="12"/>
      <x:c r="B72" s="14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</x:row>
    <x:row r="73">
      <x:c r="A73" s="12"/>
      <x:c r="B73" s="14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</x:row>
    <x:row r="74">
      <x:c r="A74" s="12"/>
      <x:c r="B74" s="14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</x:row>
    <x:row r="75">
      <x:c r="A75" s="12"/>
      <x:c r="B75" s="14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</x:row>
    <x:row r="76">
      <x:c r="A76" s="12"/>
      <x:c r="B76" s="14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</x:row>
    <x:row r="77">
      <x:c r="A77" s="12"/>
      <x:c r="B77" s="14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</x:row>
    <x:row r="78">
      <x:c r="A78" s="12"/>
      <x:c r="B78" s="14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2"/>
      <x:c r="B79" s="14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2"/>
      <x:c r="B80" s="14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2"/>
      <x:c r="B81" s="14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2"/>
      <x:c r="B82" s="14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</x:row>
    <x:row r="83">
      <x:c r="A83" s="12"/>
      <x:c r="B83" s="14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</x:row>
    <x:row r="84">
      <x:c r="A84" s="12"/>
      <x:c r="B84" s="14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</x:row>
    <x:row r="85">
      <x:c r="A85" s="12"/>
      <x:c r="B85" s="14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</x:row>
    <x:row r="86">
      <x:c r="A86" s="12"/>
      <x:c r="B86" s="14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</x:row>
    <x:row r="87">
      <x:c r="A87" s="12"/>
      <x:c r="B87" s="14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</x:row>
    <x:row r="88">
      <x:c r="A88" s="12"/>
      <x:c r="B88" s="14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</x:row>
    <x:row r="89">
      <x:c r="A89" s="12"/>
      <x:c r="B89" s="14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</x:row>
    <x:row r="90">
      <x:c r="A90" s="12"/>
      <x:c r="B90" s="14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</x:row>
    <x:row r="91">
      <x:c r="A91" s="12"/>
      <x:c r="B91" s="14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</x:row>
    <x:row r="92">
      <x:c r="A92" s="12"/>
      <x:c r="B92" s="14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</x:row>
    <x:row r="93">
      <x:c r="A93" s="12"/>
      <x:c r="B93" s="14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</x:row>
    <x:row r="94">
      <x:c r="A94" s="12"/>
      <x:c r="B94" s="14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</x:row>
    <x:row r="95">
      <x:c r="A95" s="12"/>
      <x:c r="B95" s="14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</x:row>
    <x:row r="96">
      <x:c r="A96" s="12"/>
      <x:c r="B96" s="14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</x:row>
    <x:row r="97">
      <x:c r="A97" s="12"/>
      <x:c r="B97" s="14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</x:row>
    <x:row r="98">
      <x:c r="A98" s="12"/>
      <x:c r="B98" s="14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</x:row>
    <x:row r="99">
      <x:c r="A99" s="12"/>
      <x:c r="B99" s="14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</x:row>
    <x:row r="100">
      <x:c r="A100" s="12"/>
      <x:c r="B100" s="14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</x:row>
    <x:row r="101">
      <x:c r="A101" s="12"/>
      <x:c r="B101" s="14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</x:row>
    <x:row r="102">
      <x:c r="A102" s="12"/>
      <x:c r="B102" s="14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</x:row>
    <x:row r="103">
      <x:c r="A103" s="12"/>
      <x:c r="B103" s="14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</x:row>
    <x:row r="104">
      <x:c r="A104" s="12"/>
      <x:c r="B104" s="14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</x:row>
    <x:row r="105">
      <x:c r="A105" s="12"/>
      <x:c r="B105" s="14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</x:row>
    <x:row r="106">
      <x:c r="A106" s="12"/>
      <x:c r="B106" s="14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</x:row>
    <x:row r="107">
      <x:c r="A107" s="12"/>
      <x:c r="B107" s="14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</x:row>
    <x:row r="108">
      <x:c r="A108" s="12"/>
      <x:c r="B108" s="14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</x:row>
    <x:row r="109">
      <x:c r="A109" s="12"/>
      <x:c r="B109" s="14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</x:row>
    <x:row r="110">
      <x:c r="A110" s="12"/>
      <x:c r="B110" s="14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2"/>
      <x:c r="B111" s="14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</x:row>
    <x:row r="112">
      <x:c r="A112" s="12"/>
      <x:c r="B112" s="14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</x:row>
    <x:row r="113">
      <x:c r="A113" s="12"/>
      <x:c r="B113" s="14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</x:row>
    <x:row r="114">
      <x:c r="A114" s="12"/>
      <x:c r="B114" s="14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</x:row>
    <x:row r="115">
      <x:c r="A115" s="12"/>
      <x:c r="B115" s="14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</x:row>
    <x:row r="116">
      <x:c r="A116" s="12"/>
      <x:c r="B116" s="14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</x:row>
    <x:row r="117">
      <x:c r="A117" s="12"/>
      <x:c r="B117" s="14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</x:row>
    <x:row r="118">
      <x:c r="A118" s="12"/>
      <x:c r="B118" s="14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</x:row>
    <x:row r="119">
      <x:c r="A119" s="12"/>
      <x:c r="B119" s="14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</x:row>
    <x:row r="120">
      <x:c r="A120" s="12"/>
      <x:c r="B120" s="14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</x:row>
    <x:row r="121">
      <x:c r="A121" s="12"/>
      <x:c r="B121" s="14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</x:row>
    <x:row r="122">
      <x:c r="A122" s="12"/>
      <x:c r="B122" s="14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</x:row>
    <x:row r="123">
      <x:c r="A123" s="12"/>
      <x:c r="B123" s="14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</x:row>
    <x:row r="124">
      <x:c r="A124" s="12"/>
      <x:c r="B124" s="14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</x:row>
    <x:row r="125">
      <x:c r="A125" s="12"/>
      <x:c r="B125" s="14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</x:row>
    <x:row r="126">
      <x:c r="A126" s="12"/>
      <x:c r="B126" s="14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</x:row>
    <x:row r="127">
      <x:c r="A127" s="12"/>
      <x:c r="B127" s="14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</x:row>
    <x:row r="128">
      <x:c r="A128" s="12"/>
      <x:c r="B128" s="14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</x:row>
    <x:row r="129">
      <x:c r="A129" s="12"/>
      <x:c r="B129" s="14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</x:row>
    <x:row r="130">
      <x:c r="A130" s="12"/>
      <x:c r="B130" s="14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</x:row>
    <x:row r="131">
      <x:c r="A131" s="12"/>
      <x:c r="B131" s="14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</x:row>
    <x:row r="132">
      <x:c r="A132" s="12"/>
      <x:c r="B132" s="14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</x:row>
    <x:row r="133">
      <x:c r="A133" s="12"/>
      <x:c r="B133" s="14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</x:row>
    <x:row r="134">
      <x:c r="A134" s="12"/>
      <x:c r="B134" s="14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</x:row>
    <x:row r="135">
      <x:c r="A135" s="12"/>
      <x:c r="B135" s="14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</x:row>
    <x:row r="136">
      <x:c r="A136" s="12"/>
      <x:c r="B136" s="14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</x:row>
    <x:row r="137">
      <x:c r="A137" s="12"/>
      <x:c r="B137" s="14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2"/>
      <x:c r="B138" s="14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</x:row>
    <x:row r="139">
      <x:c r="A139" s="12"/>
      <x:c r="B139" s="14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</x:row>
    <x:row r="140">
      <x:c r="A140" s="12"/>
      <x:c r="B140" s="14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</x:row>
    <x:row r="141">
      <x:c r="A141" s="12"/>
      <x:c r="B141" s="14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2"/>
      <x:c r="B142" s="14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</x:row>
    <x:row r="143">
      <x:c r="A143" s="12"/>
      <x:c r="B143" s="14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</x:row>
    <x:row r="144">
      <x:c r="A144" s="12"/>
      <x:c r="B144" s="14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</x:row>
    <x:row r="145">
      <x:c r="A145" s="12"/>
      <x:c r="B145" s="14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</x:row>
    <x:row r="146">
      <x:c r="A146" s="12"/>
      <x:c r="B146" s="14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</x:row>
    <x:row r="147">
      <x:c r="A147" s="12"/>
      <x:c r="B147" s="14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</x:row>
    <x:row r="148">
      <x:c r="A148" s="12"/>
      <x:c r="B148" s="14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</x:row>
    <x:row r="149">
      <x:c r="A149" s="12"/>
      <x:c r="B149" s="14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</x:row>
    <x:row r="150">
      <x:c r="A150" s="12"/>
      <x:c r="B150" s="14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</x:row>
    <x:row r="151">
      <x:c r="A151" s="12"/>
      <x:c r="B151" s="14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</x:row>
    <x:row r="152">
      <x:c r="A152" s="12"/>
      <x:c r="B152" s="14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</x:row>
    <x:row r="153">
      <x:c r="A153" s="12"/>
      <x:c r="B153" s="14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</x:row>
    <x:row r="154">
      <x:c r="A154" s="12"/>
      <x:c r="B154" s="14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</x:row>
    <x:row r="155">
      <x:c r="A155" s="12"/>
      <x:c r="B155" s="14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</x:row>
    <x:row r="156">
      <x:c r="A156" s="12"/>
      <x:c r="B156" s="14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</x:row>
    <x:row r="157">
      <x:c r="A157" s="12"/>
      <x:c r="B157" s="14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</x:row>
    <x:row r="158">
      <x:c r="A158" s="12"/>
      <x:c r="B158" s="14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</x:row>
    <x:row r="159">
      <x:c r="A159" s="12"/>
      <x:c r="B159" s="14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</x:row>
    <x:row r="160">
      <x:c r="A160" s="12"/>
      <x:c r="B160" s="14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</x:row>
    <x:row r="161">
      <x:c r="A161" s="12"/>
      <x:c r="B161" s="14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</x:row>
    <x:row r="162">
      <x:c r="A162" s="12"/>
      <x:c r="B162" s="14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</x:row>
    <x:row r="163">
      <x:c r="A163" s="12"/>
      <x:c r="B163" s="14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</x:row>
    <x:row r="164">
      <x:c r="A164" s="12"/>
      <x:c r="B164" s="14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</x:row>
    <x:row r="165">
      <x:c r="A165" s="12"/>
      <x:c r="B165" s="14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</x:row>
    <x:row r="166">
      <x:c r="A166" s="12"/>
      <x:c r="B166" s="14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</x:row>
    <x:row r="167">
      <x:c r="A167" s="12"/>
      <x:c r="B167" s="14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</x:row>
    <x:row r="168">
      <x:c r="A168" s="12"/>
      <x:c r="B168" s="14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</x:row>
    <x:row r="169">
      <x:c r="A169" s="12"/>
      <x:c r="B169" s="14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</x:row>
    <x:row r="170">
      <x:c r="A170" s="12"/>
      <x:c r="B170" s="14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</x:row>
    <x:row r="171">
      <x:c r="A171" s="12"/>
      <x:c r="B171" s="14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</x:row>
    <x:row r="172">
      <x:c r="A172" s="12"/>
      <x:c r="B172" s="14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</x:row>
    <x:row r="173">
      <x:c r="A173" s="12"/>
      <x:c r="B173" s="14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</x:row>
    <x:row r="174">
      <x:c r="A174" s="12"/>
      <x:c r="B174" s="14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</x:row>
    <x:row r="175">
      <x:c r="A175" s="12"/>
      <x:c r="B175" s="14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</x:row>
    <x:row r="176">
      <x:c r="A176" s="12"/>
      <x:c r="B176" s="14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</x:row>
    <x:row r="177">
      <x:c r="A177" s="12"/>
      <x:c r="B177" s="14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</x:row>
    <x:row r="178">
      <x:c r="A178" s="12"/>
      <x:c r="B178" s="14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</x:row>
    <x:row r="179">
      <x:c r="A179" s="12"/>
      <x:c r="B179" s="14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</x:row>
    <x:row r="180">
      <x:c r="A180" s="12"/>
      <x:c r="B180" s="14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</x:row>
    <x:row r="181">
      <x:c r="A181" s="12"/>
      <x:c r="B181" s="14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</x:row>
    <x:row r="182">
      <x:c r="A182" s="12"/>
      <x:c r="B182" s="14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</x:row>
    <x:row r="183">
      <x:c r="A183" s="12"/>
      <x:c r="B183" s="14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</x:row>
    <x:row r="184">
      <x:c r="A184" s="12"/>
      <x:c r="B184" s="14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</x:row>
    <x:row r="185">
      <x:c r="A185" s="12"/>
      <x:c r="B185" s="14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</x:row>
    <x:row r="186">
      <x:c r="A186" s="12"/>
      <x:c r="B186" s="14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</x:row>
    <x:row r="187">
      <x:c r="A187" s="12"/>
      <x:c r="B187" s="14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</x:row>
    <x:row r="188">
      <x:c r="A188" s="12"/>
      <x:c r="B188" s="14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</x:row>
    <x:row r="189">
      <x:c r="A189" s="12"/>
      <x:c r="B189" s="14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</x:row>
    <x:row r="190">
      <x:c r="A190" s="12"/>
      <x:c r="B190" s="14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</x:row>
    <x:row r="191">
      <x:c r="A191" s="12"/>
      <x:c r="B191" s="14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</x:row>
    <x:row r="192">
      <x:c r="A192" s="12"/>
      <x:c r="B192" s="14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</x:row>
    <x:row r="193">
      <x:c r="A193" s="12"/>
      <x:c r="B193" s="14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</x:row>
    <x:row r="194">
      <x:c r="A194" s="12"/>
      <x:c r="B194" s="14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</x:row>
    <x:row r="195">
      <x:c r="A195" s="12"/>
      <x:c r="B195" s="14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</x:row>
    <x:row r="196">
      <x:c r="A196" s="12"/>
      <x:c r="B196" s="14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</x:row>
    <x:row r="197">
      <x:c r="A197" s="12"/>
      <x:c r="B197" s="14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</x:row>
    <x:row r="198">
      <x:c r="A198" s="12"/>
      <x:c r="B198" s="14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</x:row>
    <x:row r="199">
      <x:c r="A199" s="12"/>
      <x:c r="B199" s="14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</x:row>
    <x:row r="200">
      <x:c r="A200" s="12"/>
      <x:c r="B200" s="14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</x:row>
  </x:sheetData>
  <x:conditionalFormatting sqref="G2:G200">
    <x:cfRule type="expression" dxfId="0" priority="1">
      <x:formula>G2="Critical"</x:formula>
    </x:cfRule>
  </x:conditionalFormatting>
  <x:conditionalFormatting sqref="J2:J200">
    <x:cfRule type="expression" dxfId="1" priority="2">
      <x:formula>J2="No Attack"</x:formula>
    </x:cfRule>
  </x:conditionalFormatting>
  <x:conditionalFormatting sqref="N2:N200">
    <x:cfRule type="expression" dxfId="2" priority="3">
      <x:formula>N2="Planned"</x:formula>
    </x:cfRule>
  </x:conditionalFormatting>
  <x:dataValidations count="6">
    <x:dataValidation type="list" sqref="D2:D200">
      <x:formula1>Lists!$A$2:$A$16</x:formula1>
    </x:dataValidation>
    <x:dataValidation type="list" sqref="G2:G200">
      <x:formula1>Lists!$B$2:$B$5</x:formula1>
    </x:dataValidation>
    <x:dataValidation type="list" sqref="H2:H200">
      <x:formula1>Lists!$C$2:$C$16</x:formula1>
    </x:dataValidation>
    <x:dataValidation type="list" sqref="J2:J200">
      <x:formula1>Lists!$D$2:$D$5</x:formula1>
    </x:dataValidation>
    <x:dataValidation type="list" sqref="K2:K200">
      <x:formula1>Lists!$F$2:$F$5</x:formula1>
    </x:dataValidation>
    <x:dataValidation type="list" sqref="N2:N2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d3af63a9f4c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</x:cols>
  <x:sheetData>
    <x:row r="1">
      <x:c r="A1" s="22" t="str">
        <x:v>AMOS Weekly Macro/Event Risk View</x:v>
      </x:c>
      <x:c r="B1" s="12" t="str"/>
      <x:c r="C1" s="12" t="str"/>
      <x:c r="D1" s="12" t="str"/>
      <x:c r="E1" s="12" t="str"/>
      <x:c r="F1" s="12" t="str"/>
      <x:c r="G1" s="12" t="str"/>
    </x:row>
    <x:row r="2">
      <x:c r="A2" s="9" t="str">
        <x:v>Week Start</x:v>
      </x:c>
      <x:c r="B2" s="9" t="str">
        <x:v>Week End</x:v>
      </x:c>
      <x:c r="C2" s="9" t="str">
        <x:v>Critical Events</x:v>
      </x:c>
      <x:c r="D2" s="9" t="str">
        <x:v>High Events</x:v>
      </x:c>
      <x:c r="E2" s="9" t="str">
        <x:v>No Attack Days</x:v>
      </x:c>
      <x:c r="F2" s="9" t="str">
        <x:v>Main Risk</x:v>
      </x:c>
      <x:c r="G2" s="9" t="str">
        <x:v>Action Bias</x:v>
      </x:c>
    </x:row>
    <x:row r="3">
      <x:c r="A3" s="12" t="str">
        <x:v>2026-05-25</x:v>
      </x:c>
      <x:c r="B3" s="12" t="str">
        <x:v>2026-05-31</x:v>
      </x:c>
      <x:c r="C3" s="12" t="n">
        <x:f>COUNTIFS('Event Calendar'!B:B,"&gt;="&amp;A3,'Event Calendar'!B:B,"&lt;="&amp;B3,'Event Calendar'!G:G,"Critical")</x:f>
        <x:v>0</x:v>
      </x:c>
      <x:c r="D3" s="12" t="n">
        <x:f>COUNTIFS('Event Calendar'!B:B,"&gt;="&amp;A3,'Event Calendar'!B:B,"&lt;="&amp;B3,'Event Calendar'!G:G,"High")</x:f>
        <x:v>1</x:v>
      </x:c>
      <x:c r="E3" s="12" t="n">
        <x:f>COUNTIFS('Event Calendar'!B:B,"&gt;="&amp;A3,'Event Calendar'!B:B,"&lt;="&amp;B3,'Event Calendar'!J:J,"No Attack")</x:f>
        <x:v>0</x:v>
      </x:c>
      <x:c r="F3" s="12" t="str">
        <x:v>Treasury auctions / month-end setup</x:v>
      </x:c>
      <x:c r="G3" s="12" t="str">
        <x:f>IF(C3&gt;0,"Defensive / No Attack",IF(D3&gt;0,"Build/Hold Only","Normal"))</x:f>
        <x:v>Build/Hold Only</x:v>
      </x:c>
    </x:row>
    <x:row r="4">
      <x:c r="A4" s="12" t="str">
        <x:v>2026-06-01</x:v>
      </x:c>
      <x:c r="B4" s="12" t="str">
        <x:v>2026-06-07</x:v>
      </x:c>
      <x:c r="C4" s="12" t="n">
        <x:f>COUNTIFS('Event Calendar'!B:B,"&gt;="&amp;A4,'Event Calendar'!B:B,"&lt;="&amp;B4,'Event Calendar'!G:G,"Critical")</x:f>
        <x:v>0</x:v>
      </x:c>
      <x:c r="D4" s="12" t="n">
        <x:f>COUNTIFS('Event Calendar'!B:B,"&gt;="&amp;A4,'Event Calendar'!B:B,"&lt;="&amp;B4,'Event Calendar'!G:G,"High")</x:f>
        <x:v>1</x:v>
      </x:c>
      <x:c r="E4" s="12" t="n">
        <x:f>COUNTIFS('Event Calendar'!B:B,"&gt;="&amp;A4,'Event Calendar'!B:B,"&lt;="&amp;B4,'Event Calendar'!J:J,"No Attack")</x:f>
        <x:v>0</x:v>
      </x:c>
      <x:c r="F4" s="12" t="str">
        <x:v>AI event / BTC risk review</x:v>
      </x:c>
      <x:c r="G4" s="12" t="str">
        <x:f>IF(C4&gt;0,"Defensive / No Attack",IF(D4&gt;0,"Build/Hold Only","Normal"))</x:f>
        <x:v>Build/Hold Only</x:v>
      </x:c>
    </x:row>
    <x:row r="5">
      <x:c r="A5" s="12" t="str">
        <x:v>2026-06-08</x:v>
      </x:c>
      <x:c r="B5" s="12" t="str">
        <x:v>2026-06-14</x:v>
      </x:c>
      <x:c r="C5" s="12" t="n">
        <x:f>COUNTIFS('Event Calendar'!B:B,"&gt;="&amp;A5,'Event Calendar'!B:B,"&lt;="&amp;B5,'Event Calendar'!G:G,"Critical")</x:f>
        <x:v>1</x:v>
      </x:c>
      <x:c r="D5" s="12" t="n">
        <x:f>COUNTIFS('Event Calendar'!B:B,"&gt;="&amp;A5,'Event Calendar'!B:B,"&lt;="&amp;B5,'Event Calendar'!G:G,"High")</x:f>
        <x:v>0</x:v>
      </x:c>
      <x:c r="E5" s="12" t="n">
        <x:f>COUNTIFS('Event Calendar'!B:B,"&gt;="&amp;A5,'Event Calendar'!B:B,"&lt;="&amp;B5,'Event Calendar'!J:J,"No Attack")</x:f>
        <x:v>1</x:v>
      </x:c>
      <x:c r="F5" s="12" t="str">
        <x:v>CPI week</x:v>
      </x:c>
      <x:c r="G5" s="12" t="str">
        <x:f>IF(C5&gt;0,"Defensive / No Attack",IF(D5&gt;0,"Build/Hold Only","Normal"))</x:f>
        <x:v>Defensive / No Attack</x:v>
      </x:c>
    </x:row>
    <x:row r="6">
      <x:c r="A6" s="12" t="str">
        <x:v>2026-06-15</x:v>
      </x:c>
      <x:c r="B6" s="12" t="str">
        <x:v>2026-06-21</x:v>
      </x:c>
      <x:c r="C6" s="12" t="n">
        <x:f>COUNTIFS('Event Calendar'!B:B,"&gt;="&amp;A6,'Event Calendar'!B:B,"&lt;="&amp;B6,'Event Calendar'!G:G,"Critical")</x:f>
        <x:v>2</x:v>
      </x:c>
      <x:c r="D6" s="12" t="n">
        <x:f>COUNTIFS('Event Calendar'!B:B,"&gt;="&amp;A6,'Event Calendar'!B:B,"&lt;="&amp;B6,'Event Calendar'!G:G,"High")</x:f>
        <x:v>1</x:v>
      </x:c>
      <x:c r="E6" s="12" t="n">
        <x:f>COUNTIFS('Event Calendar'!B:B,"&gt;="&amp;A6,'Event Calendar'!B:B,"&lt;="&amp;B6,'Event Calendar'!J:J,"No Attack")</x:f>
        <x:v>2</x:v>
      </x:c>
      <x:c r="F6" s="12" t="str">
        <x:v>FOMC + OPEX</x:v>
      </x:c>
      <x:c r="G6" s="12" t="str">
        <x:f>IF(C6&gt;0,"Defensive / No Attack",IF(D6&gt;0,"Build/Hold Only","Normal"))</x:f>
        <x:v>Defensive / No Attack</x:v>
      </x:c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</x:sheetData>
  <x:mergeCells>
    <x:mergeCell ref="A1:G1"/>
  </x:mergeCells>
  <x:conditionalFormatting sqref="G3:G80">
    <x:cfRule type="expression" dxfId="3" priority="1">
      <x:formula>G3="Defensive / No Attack"</x:formula>
    </x:cfRule>
  </x:conditionalFormatting>
  <x:pageMargins left="0.7" right="0.7" top="0.75" bottom="0.75" header="0.3" footer="0.3"/>
  <x:drawing xmlns:r="http://schemas.openxmlformats.org/officeDocument/2006/relationships" r:id="R5d10f7c47eac4e5e"/>
  <x:tableParts count="1">
    <x:tablePart xmlns:r="http://schemas.openxmlformats.org/officeDocument/2006/relationships" r:id="Rc0d133e8b5e54b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44" hidden="0" customWidth="1"/>
  </x:cols>
  <x:sheetData>
    <x:row r="1">
      <x:c r="A1" s="9" t="str">
        <x:v>Category</x:v>
      </x:c>
      <x:c r="B1" s="9" t="str">
        <x:v>Why It Matters</x:v>
      </x:c>
      <x:c r="C1" s="9" t="str">
        <x:v>Default Action Cap</x:v>
      </x:c>
      <x:c r="D1" s="9" t="str">
        <x:v>User Relevance</x:v>
      </x:c>
    </x:row>
    <x:row r="2">
      <x:c r="A2" s="12" t="str">
        <x:v>CPI / PCE</x:v>
      </x:c>
      <x:c r="B2" s="12" t="str">
        <x:v>Inflation surprise moves yields, duration equities, high beta growth and AI names.</x:v>
      </x:c>
      <x:c r="C2" s="12" t="str">
        <x:v>No Attack</x:v>
      </x:c>
      <x:c r="D2" s="12" t="str">
        <x:v>Very high</x:v>
      </x:c>
    </x:row>
    <x:row r="3">
      <x:c r="A3" s="12" t="str">
        <x:v>NFP / JOLTS / Labor</x:v>
      </x:c>
      <x:c r="B3" s="12" t="str">
        <x:v>Labor surprise changes Fed path and recession/growth interpretation.</x:v>
      </x:c>
      <x:c r="C3" s="12" t="str">
        <x:v>No Attack / Build-Hold</x:v>
      </x:c>
      <x:c r="D3" s="12" t="str">
        <x:v>High</x:v>
      </x:c>
    </x:row>
    <x:row r="4">
      <x:c r="A4" s="12" t="str">
        <x:v>FOMC / Minutes / Fed Speakers</x:v>
      </x:c>
      <x:c r="B4" s="12" t="str">
        <x:v>Rates, dot plot, press conference language and liquidity expectations.</x:v>
      </x:c>
      <x:c r="C4" s="12" t="str">
        <x:v>No Attack</x:v>
      </x:c>
      <x:c r="D4" s="12" t="str">
        <x:v>Very high</x:v>
      </x:c>
    </x:row>
    <x:row r="5">
      <x:c r="A5" s="12" t="str">
        <x:v>Treasury Auctions</x:v>
      </x:c>
      <x:c r="B5" s="12" t="str">
        <x:v>Auction tails/stop-through can move yields and risk appetite.</x:v>
      </x:c>
      <x:c r="C5" s="12" t="str">
        <x:v>Build/Hold Only</x:v>
      </x:c>
      <x:c r="D5" s="12" t="str">
        <x:v>High</x:v>
      </x:c>
    </x:row>
    <x:row r="6">
      <x:c r="A6" s="12" t="str">
        <x:v>OPEX / Quarter End</x:v>
      </x:c>
      <x:c r="B6" s="12" t="str">
        <x:v>Dealer gamma, mechanical flows, pinning and post-OPEX unclench.</x:v>
      </x:c>
      <x:c r="C6" s="12" t="str">
        <x:v>Build/Hold Only / No Attack</x:v>
      </x:c>
      <x:c r="D6" s="12" t="str">
        <x:v>Very high</x:v>
      </x:c>
    </x:row>
    <x:row r="7">
      <x:c r="A7" s="12" t="str">
        <x:v>Earnings / Company Events</x:v>
      </x:c>
      <x:c r="B7" s="12" t="str">
        <x:v>Ticker-specific gaps, guidance, good-news fade or narrative acceleration.</x:v>
      </x:c>
      <x:c r="C7" s="12" t="str">
        <x:v>Build/Hold Only</x:v>
      </x:c>
      <x:c r="D7" s="12" t="str">
        <x:v>Very high</x:v>
      </x:c>
    </x:row>
    <x:row r="8">
      <x:c r="A8" s="12" t="str">
        <x:v>AI Industry Events</x:v>
      </x:c>
      <x:c r="B8" s="12" t="str">
        <x:v>Narrative catalyst for AI infra, optical, power, robotics, software.</x:v>
      </x:c>
      <x:c r="C8" s="12" t="str">
        <x:v>No Cap / Build-Hold</x:v>
      </x:c>
      <x:c r="D8" s="12" t="str">
        <x:v>High</x:v>
      </x:c>
    </x:row>
    <x:row r="9">
      <x:c r="A9" s="12" t="str">
        <x:v>BTC/Crypto Events</x:v>
      </x:c>
      <x:c r="B9" s="12" t="str">
        <x:v>Impacts BTC, IREN, HOOD, COIN, miners and risk appetite.</x:v>
      </x:c>
      <x:c r="C9" s="12" t="str">
        <x:v>Build/Hold Only</x:v>
      </x:c>
      <x:c r="D9" s="12" t="str">
        <x:v>High</x:v>
      </x:c>
    </x:row>
    <x:row r="10">
      <x:c r="A10" s="12" t="str">
        <x:v>Political/Geopolitical</x:v>
      </x:c>
      <x:c r="B10" s="12" t="str">
        <x:v>Headline-driven gaps, tariffs, export controls, fiscal/liquidity shifts.</x:v>
      </x:c>
      <x:c r="C10" s="12" t="str">
        <x:v>No Attack</x:v>
      </x:c>
      <x:c r="D10" s="12" t="str">
        <x:v>High</x:v>
      </x:c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</x:sheetData>
  <x:pageMargins left="0.7" right="0.7" top="0.75" bottom="0.75" header="0.3" footer="0.3"/>
  <x:tableParts count="1">
    <x:tablePart xmlns:r="http://schemas.openxmlformats.org/officeDocument/2006/relationships" r:id="Reb8e3e86859946f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55" hidden="0" customWidth="1"/>
  </x:cols>
  <x:sheetData>
    <x:row r="1">
      <x:c r="A1" s="9" t="str">
        <x:v>Source</x:v>
      </x:c>
      <x:c r="B1" s="9" t="str">
        <x:v>Use</x:v>
      </x:c>
      <x:c r="C1" s="9" t="str">
        <x:v>URL</x:v>
      </x:c>
      <x:c r="D1" s="9" t="str">
        <x:v>Notes</x:v>
      </x:c>
    </x:row>
    <x:row r="2">
      <x:c r="A2" s="12" t="str">
        <x:v>BLS CPI</x:v>
      </x:c>
      <x:c r="B2" s="12" t="str">
        <x:v>CPI release date and inflation source</x:v>
      </x:c>
      <x:c r="C2" s="12" t="str">
        <x:v>https://www.bls.gov/cpi/</x:v>
      </x:c>
      <x:c r="D2" s="12" t="str">
        <x:v>BLS CPI page lists next CPI release; release schedules available through BLS calendar.</x:v>
      </x:c>
    </x:row>
    <x:row r="3">
      <x:c r="A3" s="12" t="str">
        <x:v>BLS Selected Releases</x:v>
      </x:c>
      <x:c r="B3" s="12" t="str">
        <x:v>CPI, NFP, JOLTS, PPI release dates</x:v>
      </x:c>
      <x:c r="C3" s="12" t="str">
        <x:v>https://www.bls.gov/schedule/2026/home.htm</x:v>
      </x:c>
      <x:c r="D3" s="12" t="str">
        <x:v>Official BLS release calendar.</x:v>
      </x:c>
    </x:row>
    <x:row r="4">
      <x:c r="A4" s="12" t="str">
        <x:v>Federal Reserve FOMC Calendar</x:v>
      </x:c>
      <x:c r="B4" s="12" t="str">
        <x:v>FOMC meeting dates, minutes, SEP meetings</x:v>
      </x:c>
      <x:c r="C4" s="12" t="str">
        <x:v>https://www.federalreserve.gov/monetarypolicy/fomccalendars.htm</x:v>
      </x:c>
      <x:c r="D4" s="12" t="str">
        <x:v>Official FOMC calendar.</x:v>
      </x:c>
    </x:row>
    <x:row r="5">
      <x:c r="A5" s="12" t="str">
        <x:v>TreasuryDirect Upcoming Auctions</x:v>
      </x:c>
      <x:c r="B5" s="12" t="str">
        <x:v>Upcoming Treasury auction dates</x:v>
      </x:c>
      <x:c r="C5" s="12" t="str">
        <x:v>https://www.treasurydirect.gov/auctions/upcoming/</x:v>
      </x:c>
      <x:c r="D5" s="12" t="str">
        <x:v>Official TreasuryDirect auction page.</x:v>
      </x:c>
    </x:row>
    <x:row r="6">
      <x:c r="A6" s="12" t="str">
        <x:v>Treasury Auction Announcements/Data/Results</x:v>
      </x:c>
      <x:c r="B6" s="12" t="str">
        <x:v>Tentative auction schedule and official auction details</x:v>
      </x:c>
      <x:c r="C6" s="12" t="str">
        <x:v>https://www.treasurydirect.gov/auctions/announcements-data-results/</x:v>
      </x:c>
      <x:c r="D6" s="12" t="str">
        <x:v>Official TreasuryDirect auction schedule resources.</x:v>
      </x:c>
    </x:row>
    <x:row r="7">
      <x:c r="A7" s="12" t="str">
        <x:v>SEC EDGAR APIs</x:v>
      </x:c>
      <x:c r="B7" s="12" t="str">
        <x:v>Company filings / 8-K / 10-Q / 10-K event checks</x:v>
      </x:c>
      <x:c r="C7" s="12" t="str">
        <x:v>https://www.sec.gov/search-filings/edgar-application-programming-interfaces</x:v>
      </x:c>
      <x:c r="D7" s="12" t="str">
        <x:v>Official SEC API documentation.</x:v>
      </x:c>
    </x:row>
    <x:row r="8">
      <x:c r="A8" s="12" t="str">
        <x:v>Company Investor Relations</x:v>
      </x:c>
      <x:c r="B8" s="12" t="str">
        <x:v>Earnings dates, decks, conference participation</x:v>
      </x:c>
      <x:c r="C8" s="12" t="str">
        <x:v>manual</x:v>
      </x:c>
      <x:c r="D8" s="12" t="str">
        <x:v>Use company IR source for ticker-specific event records.</x:v>
      </x:c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</x:sheetData>
  <x:pageMargins left="0.7" right="0.7" top="0.75" bottom="0.75" header="0.3" footer="0.3"/>
  <x:tableParts count="1">
    <x:tablePart xmlns:r="http://schemas.openxmlformats.org/officeDocument/2006/relationships" r:id="Rac60daf45a6d4a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Event Category</x:v>
      </x:c>
      <x:c r="B1" s="4" t="str">
        <x:v>Importance</x:v>
      </x:c>
      <x:c r="C1" s="4" t="str">
        <x:v>Risk Mode</x:v>
      </x:c>
      <x:c r="D1" s="4" t="str">
        <x:v>Action Cap</x:v>
      </x:c>
      <x:c r="E1" s="4" t="str">
        <x:v>Status</x:v>
      </x:c>
      <x:c r="F1" s="4" t="str">
        <x:v>YesNo</x:v>
      </x:c>
    </x:row>
    <x:row r="2">
      <x:c r="A2" t="str">
        <x:v>CPI</x:v>
      </x:c>
      <x:c r="B2" t="str">
        <x:v>Critical</x:v>
      </x:c>
      <x:c r="C2" t="str">
        <x:v>Inflation</x:v>
      </x:c>
      <x:c r="D2" t="str">
        <x:v>No Attack</x:v>
      </x:c>
      <x:c r="E2" t="str">
        <x:v>Planned</x:v>
      </x:c>
      <x:c r="F2" t="str">
        <x:v>Yes</x:v>
      </x:c>
    </x:row>
    <x:row r="3">
      <x:c r="A3" t="str">
        <x:v>PCE</x:v>
      </x:c>
      <x:c r="B3" t="str">
        <x:v>Critical</x:v>
      </x:c>
      <x:c r="C3" t="str">
        <x:v>Inflation</x:v>
      </x:c>
      <x:c r="D3" t="str">
        <x:v>No Attack</x:v>
      </x:c>
      <x:c r="E3" t="str">
        <x:v>Confirmed</x:v>
      </x:c>
      <x:c r="F3" t="str">
        <x:v>No</x:v>
      </x:c>
    </x:row>
    <x:row r="4">
      <x:c r="A4" t="str">
        <x:v>NFP</x:v>
      </x:c>
      <x:c r="B4" t="str">
        <x:v>Critical</x:v>
      </x:c>
      <x:c r="C4" t="str">
        <x:v>Labor</x:v>
      </x:c>
      <x:c r="D4" t="str">
        <x:v>No Attack</x:v>
      </x:c>
      <x:c r="E4" t="str">
        <x:v>Reviewed</x:v>
      </x:c>
      <x:c r="F4" t="str">
        <x:v>Unknown</x:v>
      </x:c>
    </x:row>
    <x:row r="5">
      <x:c r="A5" t="str">
        <x:v>FOMC</x:v>
      </x:c>
      <x:c r="B5" t="str">
        <x:v>Critical</x:v>
      </x:c>
      <x:c r="C5" t="str">
        <x:v>Rates</x:v>
      </x:c>
      <x:c r="D5" t="str">
        <x:v>No Attack</x:v>
      </x:c>
      <x:c r="E5" t="str">
        <x:v>Archived</x:v>
      </x:c>
      <x:c r="F5" t="str">
        <x:v>N/A</x:v>
      </x:c>
    </x:row>
    <x:row r="6">
      <x:c r="A6" t="str">
        <x:v>FOMC Minutes</x:v>
      </x:c>
      <x:c r="B6" t="str">
        <x:v>High</x:v>
      </x:c>
      <x:c r="C6" t="str">
        <x:v>Rates</x:v>
      </x:c>
      <x:c r="D6" t="str">
        <x:v>Build/Hold Only</x:v>
      </x:c>
      <x:c r="E6" t="str"/>
      <x:c r="F6" t="str"/>
    </x:row>
    <x:row r="7">
      <x:c r="A7" t="str">
        <x:v>ISM</x:v>
      </x:c>
      <x:c r="B7" t="str">
        <x:v>High</x:v>
      </x:c>
      <x:c r="C7" t="str">
        <x:v>Growth</x:v>
      </x:c>
      <x:c r="D7" t="str">
        <x:v>Build/Hold Only</x:v>
      </x:c>
      <x:c r="E7" t="str"/>
      <x:c r="F7" t="str"/>
    </x:row>
    <x:row r="8">
      <x:c r="A8" t="str">
        <x:v>JOLTS</x:v>
      </x:c>
      <x:c r="B8" t="str">
        <x:v>Medium</x:v>
      </x:c>
      <x:c r="C8" t="str">
        <x:v>Labor</x:v>
      </x:c>
      <x:c r="D8" t="str">
        <x:v>Build/Hold Only</x:v>
      </x:c>
      <x:c r="E8" t="str"/>
      <x:c r="F8" t="str"/>
    </x:row>
    <x:row r="9">
      <x:c r="A9" t="str">
        <x:v>Treasury Auction</x:v>
      </x:c>
      <x:c r="B9" t="str">
        <x:v>High</x:v>
      </x:c>
      <x:c r="C9" t="str">
        <x:v>Rates/Liquidity</x:v>
      </x:c>
      <x:c r="D9" t="str">
        <x:v>Build/Hold Only</x:v>
      </x:c>
      <x:c r="E9" t="str"/>
      <x:c r="F9" t="str"/>
    </x:row>
    <x:row r="10">
      <x:c r="A10" t="str">
        <x:v>OPEX</x:v>
      </x:c>
      <x:c r="B10" t="str">
        <x:v>High</x:v>
      </x:c>
      <x:c r="C10" t="str">
        <x:v>Mechanical Flow</x:v>
      </x:c>
      <x:c r="D10" t="str">
        <x:v>Build/Hold Only</x:v>
      </x:c>
      <x:c r="E10" t="str"/>
      <x:c r="F10" t="str"/>
    </x:row>
    <x:row r="11">
      <x:c r="A11" t="str">
        <x:v>Quarterly OPEX</x:v>
      </x:c>
      <x:c r="B11" t="str">
        <x:v>Critical</x:v>
      </x:c>
      <x:c r="C11" t="str">
        <x:v>Mechanical Flow</x:v>
      </x:c>
      <x:c r="D11" t="str">
        <x:v>No Attack</x:v>
      </x:c>
      <x:c r="E11" t="str"/>
      <x:c r="F11" t="str"/>
    </x:row>
    <x:row r="12">
      <x:c r="A12" t="str">
        <x:v>Earnings</x:v>
      </x:c>
      <x:c r="B12" t="str">
        <x:v>High</x:v>
      </x:c>
      <x:c r="C12" t="str">
        <x:v>Company Event</x:v>
      </x:c>
      <x:c r="D12" t="str">
        <x:v>Build/Hold Only</x:v>
      </x:c>
      <x:c r="E12" t="str"/>
      <x:c r="F12" t="str"/>
    </x:row>
    <x:row r="13">
      <x:c r="A13" t="str">
        <x:v>Company Conference</x:v>
      </x:c>
      <x:c r="B13" t="str">
        <x:v>Medium</x:v>
      </x:c>
      <x:c r="C13" t="str">
        <x:v>Company Event</x:v>
      </x:c>
      <x:c r="D13" t="str">
        <x:v>No Cap</x:v>
      </x:c>
      <x:c r="E13" t="str"/>
      <x:c r="F13" t="str"/>
    </x:row>
    <x:row r="14">
      <x:c r="A14" t="str">
        <x:v>BTC/Crypto Event</x:v>
      </x:c>
      <x:c r="B14" t="str">
        <x:v>High</x:v>
      </x:c>
      <x:c r="C14" t="str">
        <x:v>BTC Risk</x:v>
      </x:c>
      <x:c r="D14" t="str">
        <x:v>Build/Hold Only</x:v>
      </x:c>
      <x:c r="E14" t="str"/>
      <x:c r="F14" t="str"/>
    </x:row>
    <x:row r="15">
      <x:c r="A15" t="str">
        <x:v>Political/Geopolitical</x:v>
      </x:c>
      <x:c r="B15" t="str">
        <x:v>High</x:v>
      </x:c>
      <x:c r="C15" t="str">
        <x:v>Headline Risk</x:v>
      </x:c>
      <x:c r="D15" t="str">
        <x:v>No Attack</x:v>
      </x:c>
      <x:c r="E15" t="str"/>
      <x:c r="F15" t="str"/>
    </x:row>
    <x:row r="16">
      <x:c r="A16" t="str">
        <x:v>AI Industry Event</x:v>
      </x:c>
      <x:c r="B16" t="str">
        <x:v>Medium</x:v>
      </x:c>
      <x:c r="C16" t="str">
        <x:v>Narrative</x:v>
      </x:c>
      <x:c r="D16" t="str">
        <x:v>No Cap</x:v>
      </x:c>
      <x:c r="E16" t="str"/>
      <x:c r="F16" t="str"/>
    </x:row>
  </x:sheetData>
  <x:pageMargins left="0.7" right="0.7" top="0.75" bottom="0.75" header="0.3" footer="0.3"/>
</x:worksheet>
</file>