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b29cb520f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enter" sheetId="1" r:id="R92af675e13584a6b"/>
    <x:sheet xmlns:r="http://schemas.openxmlformats.org/officeDocument/2006/relationships" name="Manual Inputs" sheetId="2" r:id="Reb9937d4e0594049"/>
    <x:sheet xmlns:r="http://schemas.openxmlformats.org/officeDocument/2006/relationships" name="Generated Brief" sheetId="3" r:id="R6bbf37985c35457c"/>
    <x:sheet xmlns:r="http://schemas.openxmlformats.org/officeDocument/2006/relationships" name="Priority Checklist" sheetId="4" r:id="R050d609e21c34353"/>
    <x:sheet xmlns:r="http://schemas.openxmlformats.org/officeDocument/2006/relationships" name="Evidence Packet" sheetId="5" r:id="Rd49f21458c5e4030"/>
    <x:sheet xmlns:r="http://schemas.openxmlformats.org/officeDocument/2006/relationships" name="Gann Registry" sheetId="6" r:id="R38ee8afc20b24546"/>
    <x:sheet xmlns:r="http://schemas.openxmlformats.org/officeDocument/2006/relationships" name="Anchor Verification" sheetId="7" r:id="R3c3153c529b1403d"/>
    <x:sheet xmlns:r="http://schemas.openxmlformats.org/officeDocument/2006/relationships" name="Lists" sheetId="8" r:id="R5e248ca75b13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FF4D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3A1F1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b65b37b6348bb" /><Relationship Type="http://schemas.openxmlformats.org/officeDocument/2006/relationships/theme" Target="/xl/theme/theme1.xml" Id="R882f9a18442e4610" /><Relationship Type="http://schemas.openxmlformats.org/officeDocument/2006/relationships/sharedStrings" Target="/xl/sharedStrings.xml" Id="Rc117c4497ba846f0" /><Relationship Type="http://schemas.openxmlformats.org/officeDocument/2006/relationships/worksheet" Target="/xl/worksheets/sheet1.xml" Id="R92af675e13584a6b" /><Relationship Type="http://schemas.openxmlformats.org/officeDocument/2006/relationships/worksheet" Target="/xl/worksheets/sheet2.xml" Id="Reb9937d4e0594049" /><Relationship Type="http://schemas.openxmlformats.org/officeDocument/2006/relationships/worksheet" Target="/xl/worksheets/sheet3.xml" Id="R6bbf37985c35457c" /><Relationship Type="http://schemas.openxmlformats.org/officeDocument/2006/relationships/worksheet" Target="/xl/worksheets/sheet4.xml" Id="R050d609e21c34353" /><Relationship Type="http://schemas.openxmlformats.org/officeDocument/2006/relationships/worksheet" Target="/xl/worksheets/sheet5.xml" Id="Rd49f21458c5e4030" /><Relationship Type="http://schemas.openxmlformats.org/officeDocument/2006/relationships/worksheet" Target="/xl/worksheets/sheet6.xml" Id="R38ee8afc20b24546" /><Relationship Type="http://schemas.openxmlformats.org/officeDocument/2006/relationships/worksheet" Target="/xl/worksheets/sheet7.xml" Id="R3c3153c529b1403d" /><Relationship Type="http://schemas.openxmlformats.org/officeDocument/2006/relationships/worksheet" Target="/xl/worksheets/sheet8.xml" Id="R5e248ca75b134e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821bed27894d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Manual Alpha KPI Snapshot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Center'!$B$10:$B$11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KPI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Center'!$C$10:$C$11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Value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Center'!$D$10:$D$11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KPI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Center'!$E$10:$E$11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Value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Center'!$F$10:$F$11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KPI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Center'!$G$10:$G$11</c:f>
              <c:numCache>
                <c:formatCode/>
                <c:ptCount val="0"/>
              </c:numCache>
            </c:numRef>
          </c:val>
        </c:ser>
        <c:ser>
          <c:idx val="6"/>
          <c:order val="6"/>
          <c:tx>
            <c:v>Value</c:v>
          </c:tx>
          <c:cat>
            <c:strRef>
              <c:f>'Control Center'!$A$10:$A$11</c:f>
              <c:strCache>
                <c:ptCount val="0"/>
              </c:strCache>
            </c:strRef>
          </c:cat>
          <c:val>
            <c:numRef>
              <c:f>'Control Center'!$H$10:$H$11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821bed27894d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InputsTable" displayName="ManualInputsTable" ref="A1:Z11" headerRowCount="1">
  <x:tableColumns count="26">
    <x:tableColumn id="1" name="Ticker"/>
    <x:tableColumn id="2" name="Company"/>
    <x:tableColumn id="3" name="Role"/>
    <x:tableColumn id="4" name="Priority"/>
    <x:tableColumn id="5" name="Last Price"/>
    <x:tableColumn id="6" name="RSI 14D"/>
    <x:tableColumn id="7" name="8 EMA State"/>
    <x:tableColumn id="8" name="12 EMA State"/>
    <x:tableColumn id="9" name="Trend Structure"/>
    <x:tableColumn id="10" name="RS vs QQQ"/>
    <x:tableColumn id="11" name="RS vs Peers"/>
    <x:tableColumn id="12" name="AVWAP Status"/>
    <x:tableColumn id="13" name="Gann Registry Status"/>
    <x:tableColumn id="14" name="Nearest Gann Support"/>
    <x:tableColumn id="15" name="Nearest Gann Resistance"/>
    <x:tableColumn id="16" name="Next Event"/>
    <x:tableColumn id="17" name="Event Pressure 0-100"/>
    <x:tableColumn id="18" name="Risk Stack 0-100"/>
    <x:tableColumn id="19" name="Narrative Strength 0-100"/>
    <x:tableColumn id="20" name="Panic Maturity 0-100"/>
    <x:tableColumn id="21" name="Valuation Comfort 0-100"/>
    <x:tableColumn id="22" name="Action Bias"/>
    <x:tableColumn id="23" name="Invalidation"/>
    <x:tableColumn id="24" name="Data Freshness"/>
    <x:tableColumn id="25" name="Notes"/>
    <x:tableColumn id="26" name="Updated At"/>
  </x:tableColumns>
  <x:tableStyleInfo name="TableStyleMedium2" showRowStripes="1"/>
</x:table>
</file>

<file path=xl/tables/table2.xml><?xml version="1.0" encoding="utf-8"?>
<x:table xmlns:x="http://schemas.openxmlformats.org/spreadsheetml/2006/main" id="2" name="PriorityChecklistTable" displayName="PriorityChecklistTable" ref="A1:G11" headerRowCount="1">
  <x:tableColumns count="7">
    <x:tableColumn id="1" name="Ticker"/>
    <x:tableColumn id="2" name="Priority"/>
    <x:tableColumn id="3" name="Must-Have Missing Count"/>
    <x:tableColumn id="4" name="Confidence Cap"/>
    <x:tableColumn id="5" name="Action Cap"/>
    <x:tableColumn id="6" name="Can Trade?"/>
    <x:tableColumn id="7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EvidencePacketTable" displayName="EvidencePacketTable" ref="A1:V20" headerRowCount="1">
  <x:tableColumns count="22">
    <x:tableColumn id="1" name="Packet ID"/>
    <x:tableColumn id="2" name="Date"/>
    <x:tableColumn id="3" name="Ticker(s)"/>
    <x:tableColumn id="4" name="Source Type"/>
    <x:tableColumn id="5" name="Source Name / URL"/>
    <x:tableColumn id="6" name="Claim"/>
    <x:tableColumn id="7" name="Claim Type"/>
    <x:tableColumn id="8" name="Time Horizon"/>
    <x:tableColumn id="9" name="Bull/Bear/Neutral"/>
    <x:tableColumn id="10" name="Evidence Quality"/>
    <x:tableColumn id="11" name="Bias Risk"/>
    <x:tableColumn id="12" name="Freshness"/>
    <x:tableColumn id="13" name="Specificity"/>
    <x:tableColumn id="14" name="Actionability"/>
    <x:tableColumn id="15" name="Counter Evidence Required?"/>
    <x:tableColumn id="16" name="Counter Evidence"/>
    <x:tableColumn id="17" name="What Would Prove It Wrong?"/>
    <x:tableColumn id="18" name="Linked Data Fields Needed"/>
    <x:tableColumn id="19" name="Final Evidence Score"/>
    <x:tableColumn id="20" name="Action Gate"/>
    <x:tableColumn id="21" name="Status"/>
    <x:tableColumn id="2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GannRegistryTable" displayName="GannRegistryTable" ref="A1:J6" headerRowCount="1">
  <x:tableColumns count="10">
    <x:tableColumn id="1" name="Ticker"/>
    <x:tableColumn id="2" name="Status"/>
    <x:tableColumn id="3" name="Engine File"/>
    <x:tableColumn id="4" name="Unified Score"/>
    <x:tableColumn id="5" name="Gann Price Score"/>
    <x:tableColumn id="6" name="Gann Time Score"/>
    <x:tableColumn id="7" name="Resonance State"/>
    <x:tableColumn id="8" name="Hard Missing Data"/>
    <x:tableColumn id="9" name="Anchor Verification Link"/>
    <x:tableColumn id="10" name="Page Link"/>
  </x:tableColumns>
  <x:tableStyleInfo name="TableStyleMedium2" showRowStripes="1"/>
</x:table>
</file>

<file path=xl/tables/table5.xml><?xml version="1.0" encoding="utf-8"?>
<x:table xmlns:x="http://schemas.openxmlformats.org/spreadsheetml/2006/main" id="5" name="AnchorVerificationLinksTable" displayName="AnchorVerificationLinksTable" ref="A1:I6" headerRowCount="1">
  <x:tableColumns count="9">
    <x:tableColumn id="1" name="Ticker"/>
    <x:tableColumn id="2" name="Anchors"/>
    <x:tableColumn id="3" name="Verified"/>
    <x:tableColumn id="4" name="Unverified"/>
    <x:tableColumn id="5" name="Can Use"/>
    <x:tableColumn id="6" name="Avg Verification Score"/>
    <x:tableColumn id="7" name="Workbook Link"/>
    <x:tableColumn id="8" name="HTML Link"/>
    <x:tableColumn id="9" name="Core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f8cb38a19443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77d4d22c6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722b2fd84ae4f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2a69bf62c749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5aeab67368b44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8b28a984fa64a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AMOS Manual Data Workbook v0.2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26" t="str">
        <x:v>Status</x:v>
      </x:c>
      <x:c r="B2" s="26" t="str">
        <x:v>Unified manual workbook</x:v>
      </x:c>
      <x:c r="C2" s="26" t="str">
        <x:v>Phase</x:v>
      </x:c>
      <x:c r="D2" s="26" t="str">
        <x:v>v0.3A</x:v>
      </x:c>
      <x:c r="E2" s="26" t="str">
        <x:v>Date</x:v>
      </x:c>
      <x:c r="F2" s="26" t="str">
        <x:v>2026-05-24</x:v>
      </x:c>
      <x:c r="G2" s="26" t="str">
        <x:v>Mode</x:v>
      </x:c>
      <x:c r="H2" s="26" t="str">
        <x:v>Manual Alpha</x:v>
      </x:c>
    </x:row>
    <x:row r="3">
      <x:c r="A3" s="26" t="str">
        <x:v>Gann Live</x:v>
      </x:c>
      <x:c r="B3" s="26" t="str">
        <x:v>CRDO / NVDA / LITE / IREN / HOOD</x:v>
      </x:c>
      <x:c r="C3" s="26" t="str">
        <x:v>Anchor Check</x:v>
      </x:c>
      <x:c r="D3" s="26" t="str">
        <x:v>v0.2</x:v>
      </x:c>
      <x:c r="E3" s="26" t="str">
        <x:v>Pending</x:v>
      </x:c>
      <x:c r="F3" s="26" t="str">
        <x:v>0</x:v>
      </x:c>
      <x:c r="G3" s="26" t="str">
        <x:v>Deliveries</x:v>
      </x:c>
      <x:c r="H3" s="26" t="str">
        <x:v>57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9" t="str">
        <x:v>Daily Workflow</x:v>
      </x:c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14" t="str">
        <x:v>1</x:v>
      </x:c>
      <x:c r="B6" s="14" t="str">
        <x:v>Update Manual Inputs</x:v>
      </x:c>
      <x:c r="C6" s="14" t="str">
        <x:v>2</x:v>
      </x:c>
      <x:c r="D6" s="14" t="str">
        <x:v>Check Priority Checklist</x:v>
      </x:c>
      <x:c r="E6" s="14" t="str">
        <x:v>3</x:v>
      </x:c>
      <x:c r="F6" s="14" t="str">
        <x:v>Add Evidence Packet</x:v>
      </x:c>
      <x:c r="G6" s="14" t="str">
        <x:v>4</x:v>
      </x:c>
      <x:c r="H6" s="14" t="str">
        <x:v>Read Generated Brief</x:v>
      </x:c>
    </x:row>
    <x:row r="7">
      <x:c r="A7" s="14" t="str">
        <x:v>5</x:v>
      </x:c>
      <x:c r="B7" s="14" t="str">
        <x:v>Use Gann Registry</x:v>
      </x:c>
      <x:c r="C7" s="14" t="str">
        <x:v>6</x:v>
      </x:c>
      <x:c r="D7" s="14" t="str">
        <x:v>Open Anchor Verification</x:v>
      </x:c>
      <x:c r="E7" s="14" t="str">
        <x:v>7</x:v>
      </x:c>
      <x:c r="F7" s="14" t="str">
        <x:v>Use Peer Map</x:v>
      </x:c>
      <x:c r="G7" s="14" t="str">
        <x:v>8</x:v>
      </x:c>
      <x:c r="H7" s="14" t="str">
        <x:v>Decide Action Cap</x:v>
      </x:c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</x:row>
    <x:row r="9">
      <x:c r="A9" s="9" t="str">
        <x:v>KPI</x:v>
      </x:c>
      <x:c r="B9" s="9" t="str">
        <x:v>Value</x:v>
      </x:c>
      <x:c r="C9" s="9" t="str">
        <x:v>KPI</x:v>
      </x:c>
      <x:c r="D9" s="9" t="str">
        <x:v>Value</x:v>
      </x:c>
      <x:c r="E9" s="9" t="str">
        <x:v>KPI</x:v>
      </x:c>
      <x:c r="F9" s="9" t="str">
        <x:v>Value</x:v>
      </x:c>
      <x:c r="G9" s="9" t="str">
        <x:v>KPI</x:v>
      </x:c>
      <x:c r="H9" s="9" t="str">
        <x:v>Value</x:v>
      </x:c>
    </x:row>
    <x:row r="10">
      <x:c r="A10" s="14" t="str">
        <x:v>Fresh Data</x:v>
      </x:c>
      <x:c r="B10" s="14" t="n">
        <x:f>COUNTIF('Manual Inputs'!X2:X11,"Fresh")</x:f>
        <x:v>0</x:v>
      </x:c>
      <x:c r="C10" s="14" t="str">
        <x:v>Missing Data</x:v>
      </x:c>
      <x:c r="D10" s="14" t="n">
        <x:f>COUNTIF('Manual Inputs'!X2:X11,"Missing")</x:f>
        <x:v>10</x:v>
      </x:c>
      <x:c r="E10" s="14" t="str">
        <x:v>Trim Watch</x:v>
      </x:c>
      <x:c r="F10" s="14" t="n">
        <x:f>COUNTIF('Manual Inputs'!V2:V11,"Trim Watch")</x:f>
        <x:v>1</x:v>
      </x:c>
      <x:c r="G10" s="14" t="str">
        <x:v>Wait</x:v>
      </x:c>
      <x:c r="H10" s="14" t="n">
        <x:f>COUNTIF('Manual Inputs'!V2:V11,"Wait")</x:f>
        <x:v>4</x:v>
      </x:c>
    </x:row>
    <x:row r="11">
      <x:c r="A11" s="14" t="str">
        <x:v>Gann Live</x:v>
      </x:c>
      <x:c r="B11" s="14" t="n">
        <x:f>COUNTIF('Manual Inputs'!M2:M11,"Gann Live")</x:f>
        <x:v>5</x:v>
      </x:c>
      <x:c r="C11" s="14" t="str">
        <x:v>No Trade</x:v>
      </x:c>
      <x:c r="D11" s="14" t="n">
        <x:f>COUNTIF('Priority Checklist'!F2:F11,"No")</x:f>
        <x:v>10</x:v>
      </x:c>
      <x:c r="E11" s="14" t="str">
        <x:v>Evidence Open</x:v>
      </x:c>
      <x:c r="F11" s="14" t="n">
        <x:f>COUNTIF('Evidence Packet'!U2:U200,"Open")</x:f>
        <x:v>2</x:v>
      </x:c>
      <x:c r="G11" s="14" t="str">
        <x:v>Can Influence</x:v>
      </x:c>
      <x:c r="H11" s="14" t="n">
        <x:f>COUNTIF('Evidence Packet'!T2:T200,"Can Influence Action")</x:f>
        <x:v>0</x:v>
      </x:c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32" t="str">
        <x:v>Important Guardrail</x:v>
      </x:c>
      <x:c r="B13" s="14" t="str">
        <x:v>All Gann engines are sample/manual-ready. Gann levels require Anchor Verification v0.2 + live price + AVWAP/RSI/TCG/options/event confirmation before formal use.</x:v>
      </x:c>
      <x:c r="C13" s="14" t="str"/>
      <x:c r="D13" s="14" t="str"/>
      <x:c r="E13" s="14" t="str"/>
      <x:c r="F13" s="14" t="str"/>
      <x:c r="G13" s="14" t="str"/>
      <x:c r="H13" s="14" t="str"/>
    </x:row>
  </x:sheetData>
  <x:mergeCells>
    <x:mergeCell ref="A1:H1"/>
    <x:mergeCell ref="A5:H5"/>
    <x:mergeCell ref="A13:H13"/>
  </x:mergeCells>
  <x:pageMargins left="0.7" right="0.7" top="0.75" bottom="0.75" header="0.3" footer="0.3"/>
  <x:drawing xmlns:r="http://schemas.openxmlformats.org/officeDocument/2006/relationships" r:id="Rf1f8cb38a19443fd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3" hidden="0" customWidth="1"/>
    <x:col min="8" max="8" width="13" hidden="0" customWidth="1"/>
    <x:col min="9" max="9" width="16" hidden="0" customWidth="1"/>
    <x:col min="10" max="10" width="12" hidden="0" customWidth="1"/>
    <x:col min="11" max="11" width="12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6" hidden="0" customWidth="1"/>
    <x:col min="18" max="18" width="14" hidden="0" customWidth="1"/>
    <x:col min="19" max="19" width="18" hidden="0" customWidth="1"/>
    <x:col min="20" max="20" width="17" hidden="0" customWidth="1"/>
    <x:col min="21" max="21" width="18" hidden="0" customWidth="1"/>
    <x:col min="22" max="22" width="14" hidden="0" customWidth="1"/>
    <x:col min="23" max="23" width="38" hidden="0" customWidth="1"/>
    <x:col min="24" max="24" width="14" hidden="0" customWidth="1"/>
    <x:col min="25" max="25" width="26" hidden="0" customWidth="1"/>
    <x:col min="26" max="26" width="13" hidden="0" customWidth="1"/>
  </x:cols>
  <x:sheetData>
    <x:row r="1">
      <x:c r="A1" s="10" t="str">
        <x:v>Ticker</x:v>
      </x:c>
      <x:c r="B1" s="10" t="str">
        <x:v>Company</x:v>
      </x:c>
      <x:c r="C1" s="10" t="str">
        <x:v>Role</x:v>
      </x:c>
      <x:c r="D1" s="10" t="str">
        <x:v>Priority</x:v>
      </x:c>
      <x:c r="E1" s="10" t="str">
        <x:v>Last Price</x:v>
      </x:c>
      <x:c r="F1" s="10" t="str">
        <x:v>RSI 14D</x:v>
      </x:c>
      <x:c r="G1" s="10" t="str">
        <x:v>8 EMA State</x:v>
      </x:c>
      <x:c r="H1" s="10" t="str">
        <x:v>12 EMA State</x:v>
      </x:c>
      <x:c r="I1" s="10" t="str">
        <x:v>Trend Structure</x:v>
      </x:c>
      <x:c r="J1" s="10" t="str">
        <x:v>RS vs QQQ</x:v>
      </x:c>
      <x:c r="K1" s="10" t="str">
        <x:v>RS vs Peers</x:v>
      </x:c>
      <x:c r="L1" s="10" t="str">
        <x:v>AVWAP Status</x:v>
      </x:c>
      <x:c r="M1" s="10" t="str">
        <x:v>Gann Registry Status</x:v>
      </x:c>
      <x:c r="N1" s="10" t="str">
        <x:v>Nearest Gann Support</x:v>
      </x:c>
      <x:c r="O1" s="10" t="str">
        <x:v>Nearest Gann Resistance</x:v>
      </x:c>
      <x:c r="P1" s="10" t="str">
        <x:v>Next Event</x:v>
      </x:c>
      <x:c r="Q1" s="10" t="str">
        <x:v>Event Pressure 0-100</x:v>
      </x:c>
      <x:c r="R1" s="10" t="str">
        <x:v>Risk Stack 0-100</x:v>
      </x:c>
      <x:c r="S1" s="10" t="str">
        <x:v>Narrative Strength 0-100</x:v>
      </x:c>
      <x:c r="T1" s="10" t="str">
        <x:v>Panic Maturity 0-100</x:v>
      </x:c>
      <x:c r="U1" s="10" t="str">
        <x:v>Valuation Comfort 0-100</x:v>
      </x:c>
      <x:c r="V1" s="10" t="str">
        <x:v>Action Bias</x:v>
      </x:c>
      <x:c r="W1" s="10" t="str">
        <x:v>Invalidation</x:v>
      </x:c>
      <x:c r="X1" s="10" t="str">
        <x:v>Data Freshness</x:v>
      </x:c>
      <x:c r="Y1" s="10" t="str">
        <x:v>Notes</x:v>
      </x:c>
      <x:c r="Z1" s="10" t="str">
        <x:v>Updated At</x:v>
      </x:c>
    </x:row>
    <x:row r="2">
      <x:c r="A2" s="14" t="str">
        <x:v>NVDA</x:v>
      </x:c>
      <x:c r="B2" s="14" t="str">
        <x:v>NVIDIA</x:v>
      </x:c>
      <x:c r="C2" s="14" t="str">
        <x:v>Core</x:v>
      </x:c>
      <x:c r="D2" s="14" t="str">
        <x:v>P1</x:v>
      </x:c>
      <x:c r="E2" s="14" t="str"/>
      <x:c r="F2" s="14" t="str"/>
      <x:c r="G2" s="14" t="str">
        <x:v>Unknown</x:v>
      </x:c>
      <x:c r="H2" s="14" t="str">
        <x:v>Unknown</x:v>
      </x:c>
      <x:c r="I2" s="14" t="str">
        <x:v>Unclear</x:v>
      </x:c>
      <x:c r="J2" s="14" t="str"/>
      <x:c r="K2" s="14" t="str"/>
      <x:c r="L2" s="14" t="str">
        <x:v>Unknown</x:v>
      </x:c>
      <x:c r="M2" s="14" t="str">
        <x:v>Gann Live</x:v>
      </x:c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>
        <x:v>Hold</x:v>
      </x:c>
      <x:c r="W2" s="14" t="str">
        <x:v>Fails post-event AVWAP / AI CapEx weakens / RS deteriorates</x:v>
      </x:c>
      <x:c r="X2" s="14" t="str">
        <x:v>Missing</x:v>
      </x:c>
      <x:c r="Y2" s="14" t="str"/>
      <x:c r="Z2" s="14" t="str">
        <x:v>2026-05-24</x:v>
      </x:c>
    </x:row>
    <x:row r="3">
      <x:c r="A3" s="14" t="str">
        <x:v>CRDO</x:v>
      </x:c>
      <x:c r="B3" s="14" t="str">
        <x:v>Credo Technology</x:v>
      </x:c>
      <x:c r="C3" s="14" t="str">
        <x:v>Swing</x:v>
      </x:c>
      <x:c r="D3" s="14" t="str">
        <x:v>P0</x:v>
      </x:c>
      <x:c r="E3" s="14" t="str"/>
      <x:c r="F3" s="14" t="str"/>
      <x:c r="G3" s="14" t="str">
        <x:v>Unknown</x:v>
      </x:c>
      <x:c r="H3" s="14" t="str">
        <x:v>Unknown</x:v>
      </x:c>
      <x:c r="I3" s="14" t="str">
        <x:v>Unclear</x:v>
      </x:c>
      <x:c r="J3" s="14" t="str"/>
      <x:c r="K3" s="14" t="str"/>
      <x:c r="L3" s="14" t="str">
        <x:v>Unknown</x:v>
      </x:c>
      <x:c r="M3" s="14" t="str">
        <x:v>Gann Live</x:v>
      </x:c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>
        <x:v>Trim Watch</x:v>
      </x:c>
      <x:c r="W3" s="14" t="str">
        <x:v>Breaks AVWAP / loses RS / revisions down</x:v>
      </x:c>
      <x:c r="X3" s="14" t="str">
        <x:v>Missing</x:v>
      </x:c>
      <x:c r="Y3" s="14" t="str"/>
      <x:c r="Z3" s="14" t="str">
        <x:v>2026-05-24</x:v>
      </x:c>
    </x:row>
    <x:row r="4">
      <x:c r="A4" s="14" t="str">
        <x:v>LITE</x:v>
      </x:c>
      <x:c r="B4" s="14" t="str">
        <x:v>Lumentum</x:v>
      </x:c>
      <x:c r="C4" s="14" t="str">
        <x:v>Swing</x:v>
      </x:c>
      <x:c r="D4" s="14" t="str">
        <x:v>P0</x:v>
      </x:c>
      <x:c r="E4" s="14" t="str"/>
      <x:c r="F4" s="14" t="str"/>
      <x:c r="G4" s="14" t="str">
        <x:v>Unknown</x:v>
      </x:c>
      <x:c r="H4" s="14" t="str">
        <x:v>Unknown</x:v>
      </x:c>
      <x:c r="I4" s="14" t="str">
        <x:v>Unclear</x:v>
      </x:c>
      <x:c r="J4" s="14" t="str"/>
      <x:c r="K4" s="14" t="str"/>
      <x:c r="L4" s="14" t="str">
        <x:v>Unknown</x:v>
      </x:c>
      <x:c r="M4" s="14" t="str">
        <x:v>Gann Live</x:v>
      </x:c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>
        <x:v>Hold</x:v>
      </x:c>
      <x:c r="W4" s="14" t="str">
        <x:v>Optical strong but LITE underperforms peers / guidance weakens</x:v>
      </x:c>
      <x:c r="X4" s="14" t="str">
        <x:v>Missing</x:v>
      </x:c>
      <x:c r="Y4" s="14" t="str"/>
      <x:c r="Z4" s="14" t="str">
        <x:v>2026-05-24</x:v>
      </x:c>
    </x:row>
    <x:row r="5">
      <x:c r="A5" s="14" t="str">
        <x:v>IREN</x:v>
      </x:c>
      <x:c r="B5" s="14" t="str">
        <x:v>IREN</x:v>
      </x:c>
      <x:c r="C5" s="14" t="str">
        <x:v>Tactical</x:v>
      </x:c>
      <x:c r="D5" s="14" t="str">
        <x:v>P1</x:v>
      </x:c>
      <x:c r="E5" s="14" t="str"/>
      <x:c r="F5" s="14" t="str"/>
      <x:c r="G5" s="14" t="str">
        <x:v>Unknown</x:v>
      </x:c>
      <x:c r="H5" s="14" t="str">
        <x:v>Unknown</x:v>
      </x:c>
      <x:c r="I5" s="14" t="str">
        <x:v>Unclear</x:v>
      </x:c>
      <x:c r="J5" s="14" t="str"/>
      <x:c r="K5" s="14" t="str"/>
      <x:c r="L5" s="14" t="str">
        <x:v>Unknown</x:v>
      </x:c>
      <x:c r="M5" s="14" t="str">
        <x:v>Gann Live</x:v>
      </x:c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>
        <x:v>Wait</x:v>
      </x:c>
      <x:c r="W5" s="14" t="str">
        <x:v>BTC loses structure / AI compute thesis weakens / dilution risk rises</x:v>
      </x:c>
      <x:c r="X5" s="14" t="str">
        <x:v>Missing</x:v>
      </x:c>
      <x:c r="Y5" s="14" t="str"/>
      <x:c r="Z5" s="14" t="str">
        <x:v>2026-05-24</x:v>
      </x:c>
    </x:row>
    <x:row r="6">
      <x:c r="A6" s="14" t="str">
        <x:v>HOOD</x:v>
      </x:c>
      <x:c r="B6" s="14" t="str">
        <x:v>Robinhood</x:v>
      </x:c>
      <x:c r="C6" s="14" t="str">
        <x:v>Research</x:v>
      </x:c>
      <x:c r="D6" s="14" t="str">
        <x:v>P1</x:v>
      </x:c>
      <x:c r="E6" s="14" t="str"/>
      <x:c r="F6" s="14" t="str"/>
      <x:c r="G6" s="14" t="str">
        <x:v>Unknown</x:v>
      </x:c>
      <x:c r="H6" s="14" t="str">
        <x:v>Unknown</x:v>
      </x:c>
      <x:c r="I6" s="14" t="str">
        <x:v>Unclear</x:v>
      </x:c>
      <x:c r="J6" s="14" t="str"/>
      <x:c r="K6" s="14" t="str"/>
      <x:c r="L6" s="14" t="str">
        <x:v>Unknown</x:v>
      </x:c>
      <x:c r="M6" s="14" t="str">
        <x:v>Gann Live</x:v>
      </x:c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>
        <x:v>Wait</x:v>
      </x:c>
      <x:c r="W6" s="14" t="str">
        <x:v>Regulatory pressure expands / BTC remains liquidation regime</x:v>
      </x:c>
      <x:c r="X6" s="14" t="str">
        <x:v>Missing</x:v>
      </x:c>
      <x:c r="Y6" s="14" t="str"/>
      <x:c r="Z6" s="14" t="str">
        <x:v>2026-05-24</x:v>
      </x:c>
    </x:row>
    <x:row r="7">
      <x:c r="A7" s="14" t="str">
        <x:v>GOOG</x:v>
      </x:c>
      <x:c r="B7" s="14" t="str">
        <x:v>Alphabet</x:v>
      </x:c>
      <x:c r="C7" s="14" t="str">
        <x:v>Core</x:v>
      </x:c>
      <x:c r="D7" s="14" t="str">
        <x:v>P1</x:v>
      </x:c>
      <x:c r="E7" s="14" t="str"/>
      <x:c r="F7" s="14" t="str"/>
      <x:c r="G7" s="14" t="str">
        <x:v>Unknown</x:v>
      </x:c>
      <x:c r="H7" s="14" t="str">
        <x:v>Unknown</x:v>
      </x:c>
      <x:c r="I7" s="14" t="str">
        <x:v>Unclear</x:v>
      </x:c>
      <x:c r="J7" s="14" t="str"/>
      <x:c r="K7" s="14" t="str"/>
      <x:c r="L7" s="14" t="str">
        <x:v>Unknown</x:v>
      </x:c>
      <x:c r="M7" s="14" t="str">
        <x:v>Gann Pending</x:v>
      </x:c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>
        <x:v>Hold</x:v>
      </x:c>
      <x:c r="W7" s="14" t="str">
        <x:v>Cloud/AI capex thesis weakens / RS deteriorates</x:v>
      </x:c>
      <x:c r="X7" s="14" t="str">
        <x:v>Missing</x:v>
      </x:c>
      <x:c r="Y7" s="14" t="str"/>
      <x:c r="Z7" s="14" t="str">
        <x:v>2026-05-24</x:v>
      </x:c>
    </x:row>
    <x:row r="8">
      <x:c r="A8" s="14" t="str">
        <x:v>MSFT</x:v>
      </x:c>
      <x:c r="B8" s="14" t="str">
        <x:v>Microsoft</x:v>
      </x:c>
      <x:c r="C8" s="14" t="str">
        <x:v>Core</x:v>
      </x:c>
      <x:c r="D8" s="14" t="str">
        <x:v>P1</x:v>
      </x:c>
      <x:c r="E8" s="14" t="str"/>
      <x:c r="F8" s="14" t="str"/>
      <x:c r="G8" s="14" t="str">
        <x:v>Unknown</x:v>
      </x:c>
      <x:c r="H8" s="14" t="str">
        <x:v>Unknown</x:v>
      </x:c>
      <x:c r="I8" s="14" t="str">
        <x:v>Unclear</x:v>
      </x:c>
      <x:c r="J8" s="14" t="str"/>
      <x:c r="K8" s="14" t="str"/>
      <x:c r="L8" s="14" t="str">
        <x:v>Unknown</x:v>
      </x:c>
      <x:c r="M8" s="14" t="str">
        <x:v>Gann Pending</x:v>
      </x:c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>
        <x:v>Hold</x:v>
      </x:c>
      <x:c r="W8" s="14" t="str">
        <x:v>Azure/AI capex weakens / margin pressure</x:v>
      </x:c>
      <x:c r="X8" s="14" t="str">
        <x:v>Missing</x:v>
      </x:c>
      <x:c r="Y8" s="14" t="str"/>
      <x:c r="Z8" s="14" t="str">
        <x:v>2026-05-24</x:v>
      </x:c>
    </x:row>
    <x:row r="9">
      <x:c r="A9" s="14" t="str">
        <x:v>AVGO</x:v>
      </x:c>
      <x:c r="B9" s="14" t="str">
        <x:v>Broadcom</x:v>
      </x:c>
      <x:c r="C9" s="14" t="str">
        <x:v>Core</x:v>
      </x:c>
      <x:c r="D9" s="14" t="str">
        <x:v>P1</x:v>
      </x:c>
      <x:c r="E9" s="14" t="str"/>
      <x:c r="F9" s="14" t="str"/>
      <x:c r="G9" s="14" t="str">
        <x:v>Unknown</x:v>
      </x:c>
      <x:c r="H9" s="14" t="str">
        <x:v>Unknown</x:v>
      </x:c>
      <x:c r="I9" s="14" t="str">
        <x:v>Unclear</x:v>
      </x:c>
      <x:c r="J9" s="14" t="str"/>
      <x:c r="K9" s="14" t="str"/>
      <x:c r="L9" s="14" t="str">
        <x:v>Unknown</x:v>
      </x:c>
      <x:c r="M9" s="14" t="str">
        <x:v>Gann Pending</x:v>
      </x:c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>
        <x:v>Hold</x:v>
      </x:c>
      <x:c r="W9" s="14" t="str">
        <x:v>AI ASIC demand weakens / RS deteriorates</x:v>
      </x:c>
      <x:c r="X9" s="14" t="str">
        <x:v>Missing</x:v>
      </x:c>
      <x:c r="Y9" s="14" t="str"/>
      <x:c r="Z9" s="14" t="str">
        <x:v>2026-05-24</x:v>
      </x:c>
    </x:row>
    <x:row r="10">
      <x:c r="A10" s="14" t="str">
        <x:v>RKLB</x:v>
      </x:c>
      <x:c r="B10" s="14" t="str">
        <x:v>Rocket Lab</x:v>
      </x:c>
      <x:c r="C10" s="14" t="str">
        <x:v>Tactical</x:v>
      </x:c>
      <x:c r="D10" s="14" t="str">
        <x:v>P2</x:v>
      </x:c>
      <x:c r="E10" s="14" t="str"/>
      <x:c r="F10" s="14" t="str"/>
      <x:c r="G10" s="14" t="str">
        <x:v>Unknown</x:v>
      </x:c>
      <x:c r="H10" s="14" t="str">
        <x:v>Unknown</x:v>
      </x:c>
      <x:c r="I10" s="14" t="str">
        <x:v>Unclear</x:v>
      </x:c>
      <x:c r="J10" s="14" t="str"/>
      <x:c r="K10" s="14" t="str"/>
      <x:c r="L10" s="14" t="str">
        <x:v>Unknown</x:v>
      </x:c>
      <x:c r="M10" s="14" t="str">
        <x:v>Gann Pending</x:v>
      </x:c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>
        <x:v>Wait</x:v>
      </x:c>
      <x:c r="W10" s="14" t="str">
        <x:v>Space theme fades / failed breakout</x:v>
      </x:c>
      <x:c r="X10" s="14" t="str">
        <x:v>Missing</x:v>
      </x:c>
      <x:c r="Y10" s="14" t="str"/>
      <x:c r="Z10" s="14" t="str">
        <x:v>2026-05-24</x:v>
      </x:c>
    </x:row>
    <x:row r="11">
      <x:c r="A11" s="14" t="str">
        <x:v>IONQ</x:v>
      </x:c>
      <x:c r="B11" s="14" t="str">
        <x:v>IonQ</x:v>
      </x:c>
      <x:c r="C11" s="14" t="str">
        <x:v>Tactical</x:v>
      </x:c>
      <x:c r="D11" s="14" t="str">
        <x:v>P2</x:v>
      </x:c>
      <x:c r="E11" s="14" t="str"/>
      <x:c r="F11" s="14" t="str"/>
      <x:c r="G11" s="14" t="str">
        <x:v>Unknown</x:v>
      </x:c>
      <x:c r="H11" s="14" t="str">
        <x:v>Unknown</x:v>
      </x:c>
      <x:c r="I11" s="14" t="str">
        <x:v>Unclear</x:v>
      </x:c>
      <x:c r="J11" s="14" t="str"/>
      <x:c r="K11" s="14" t="str"/>
      <x:c r="L11" s="14" t="str">
        <x:v>Unknown</x:v>
      </x:c>
      <x:c r="M11" s="14" t="str">
        <x:v>Gann Pending</x:v>
      </x:c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>
        <x:v>Wait</x:v>
      </x:c>
      <x:c r="W11" s="14" t="str">
        <x:v>Quantum theme fades / tail-chase without leaders</x:v>
      </x:c>
      <x:c r="X11" s="14" t="str">
        <x:v>Missing</x:v>
      </x:c>
      <x:c r="Y11" s="14" t="str"/>
      <x:c r="Z11" s="14" t="str">
        <x:v>2026-05-24</x:v>
      </x:c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</x:sheetData>
  <x:conditionalFormatting sqref="Q2:Q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R2:R200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S2:S200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200">
    <x:cfRule type="colorScale" priority="4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U2:U200">
    <x:cfRule type="colorScale" priority="5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X2:X200">
    <x:cfRule type="expression" dxfId="0" priority="6">
      <x:formula>X2="Missing"</x:formula>
    </x:cfRule>
    <x:cfRule type="expression" dxfId="1" priority="7">
      <x:formula>X2="Fresh"</x:formula>
    </x:cfRule>
  </x:conditionalFormatting>
  <x:conditionalFormatting sqref="V2:V200">
    <x:cfRule type="expression" dxfId="2" priority="8">
      <x:formula>V2="Trim Watch"</x:formula>
    </x:cfRule>
    <x:cfRule type="expression" dxfId="3" priority="9">
      <x:formula>V2="Build"</x:formula>
    </x:cfRule>
  </x:conditionalFormatting>
  <x:dataValidations count="9">
    <x:dataValidation type="list" sqref="C2:C200">
      <x:formula1>Lists!$D$2:$D$6</x:formula1>
    </x:dataValidation>
    <x:dataValidation type="list" sqref="D2:D200">
      <x:formula1>Lists!$E$2:$E$5</x:formula1>
    </x:dataValidation>
    <x:dataValidation type="list" sqref="V2:V200">
      <x:formula1>Lists!$A$2:$A$7</x:formula1>
    </x:dataValidation>
    <x:dataValidation type="list" sqref="X2:X200">
      <x:formula1>Lists!$B$2:$B$5</x:formula1>
    </x:dataValidation>
    <x:dataValidation type="list" sqref="G2:G200">
      <x:formula1>"Bullish,Neutral,Bearish,Unknown,Unclear"</x:formula1>
    </x:dataValidation>
    <x:dataValidation type="list" sqref="H2:H200">
      <x:formula1>"Bullish,Neutral,Bearish,Unknown,Unclear"</x:formula1>
    </x:dataValidation>
    <x:dataValidation type="list" sqref="I2:I200">
      <x:formula1>"Bullish,Neutral,Bearish,Unknown,Unclear"</x:formula1>
    </x:dataValidation>
    <x:dataValidation type="list" sqref="L2:L200">
      <x:formula1>"Bullish,Neutral,Bearish,Unknown,Unclear"</x:formula1>
    </x:dataValidation>
    <x:dataValidation type="list" sqref="M2:M200">
      <x:formula1>"Gann Live,Gann 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877d4d22c647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4" hidden="0" customWidth="1"/>
    <x:col min="7" max="7" width="18" hidden="0" customWidth="1"/>
  </x:cols>
  <x:sheetData>
    <x:row r="1">
      <x:c r="A1" s="22" t="str">
        <x:v>AMOS Generated Brief v0.2 unified workbook</x:v>
      </x:c>
      <x:c r="B1" s="14" t="str"/>
      <x:c r="C1" s="14" t="str"/>
      <x:c r="D1" s="14" t="str"/>
      <x:c r="E1" s="14" t="str"/>
      <x:c r="F1" s="14" t="str"/>
      <x:c r="G1" s="14" t="str"/>
    </x:row>
    <x:row r="2">
      <x:c r="A2" s="14" t="str">
        <x:v>Brief Date</x:v>
      </x:c>
      <x:c r="B2" s="14" t="str">
        <x:v>2026-05-24</x:v>
      </x:c>
      <x:c r="C2" s="14" t="str">
        <x:v>Mode</x:v>
      </x:c>
      <x:c r="D2" s="14" t="str">
        <x:v>Manual Alpha</x:v>
      </x:c>
      <x:c r="E2" s="14" t="str">
        <x:v>Confidence Cap</x:v>
      </x:c>
      <x:c r="F2" s="14" t="n">
        <x:f>MIN('Priority Checklist'!D2:D11)</x:f>
        <x:v>30</x:v>
      </x:c>
      <x:c r="G2" s="14" t="str"/>
    </x:row>
    <x:row r="3">
      <x:c r="A3" s="9" t="str">
        <x:v>Executive Summary</x:v>
      </x:c>
      <x:c r="B3" s="14" t="str"/>
      <x:c r="C3" s="14" t="str"/>
      <x:c r="D3" s="14" t="str"/>
      <x:c r="E3" s="14" t="str"/>
      <x:c r="F3" s="14" t="str"/>
      <x:c r="G3" s="14" t="str"/>
    </x:row>
    <x:row r="4">
      <x:c r="A4" s="14" t="str">
        <x:v>Action Summary</x:v>
      </x:c>
      <x:c r="B4" s="14" t="str">
        <x:f>TEXTJOIN(" | ",TRUE,"Attack: "&amp;COUNTIF('Manual Inputs'!V2:V11,"Attack"),"Build: "&amp;COUNTIF('Manual Inputs'!V2:V11,"Build"),"Hold: "&amp;COUNTIF('Manual Inputs'!V2:V11,"Hold"),"Trim Watch: "&amp;COUNTIF('Manual Inputs'!V2:V11,"Trim Watch"),"Wait: "&amp;COUNTIF('Manual Inputs'!V2:V11,"Wait"))</x:f>
        <x:v>Attack: 0 | Build: 0 | Hold: 5 | Trim Watch: 1 | Wait: 4</x:v>
      </x:c>
      <x:c r="C4" s="14" t="str"/>
      <x:c r="D4" s="14" t="str"/>
      <x:c r="E4" s="14" t="str"/>
      <x:c r="F4" s="14" t="str"/>
      <x:c r="G4" s="14" t="str"/>
    </x:row>
    <x:row r="5">
      <x:c r="A5" s="14" t="str">
        <x:v>Data Quality</x:v>
      </x:c>
      <x:c r="B5" s="14" t="str">
        <x:f>TEXTJOIN(" | ",TRUE,"Fresh: "&amp;COUNTIF('Manual Inputs'!X2:X11,"Fresh"),"Partial: "&amp;COUNTIF('Manual Inputs'!X2:X11,"Partial"),"Stale: "&amp;COUNTIF('Manual Inputs'!X2:X11,"Stale"),"Missing: "&amp;COUNTIF('Manual Inputs'!X2:X11,"Missing"))</x:f>
        <x:v>Fresh: 0 | Partial: 0 | Stale: 0 | Missing: 10</x:v>
      </x:c>
      <x:c r="C5" s="14" t="str"/>
      <x:c r="D5" s="14" t="str"/>
      <x:c r="E5" s="14" t="str"/>
      <x:c r="F5" s="14" t="str"/>
      <x:c r="G5" s="14" t="str"/>
    </x:row>
    <x:row r="6">
      <x:c r="A6" s="14" t="str">
        <x:v>Main Instruction</x:v>
      </x:c>
      <x:c r="B6" s="14" t="str">
        <x:v>Do not act on missing data. Read action buckets, risk alerts, invalidations and anchor verification before trading.</x:v>
      </x:c>
      <x:c r="C6" s="14" t="str"/>
      <x:c r="D6" s="14" t="str"/>
      <x:c r="E6" s="14" t="str"/>
      <x:c r="F6" s="14" t="str"/>
      <x:c r="G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</x:row>
    <x:row r="8">
      <x:c r="A8" s="9" t="str">
        <x:v>Ticker</x:v>
      </x:c>
      <x:c r="B8" s="9" t="str">
        <x:v>Role</x:v>
      </x:c>
      <x:c r="C8" s="9" t="str">
        <x:v>Action</x:v>
      </x:c>
      <x:c r="D8" s="9" t="str">
        <x:v>Freshness</x:v>
      </x:c>
      <x:c r="E8" s="9" t="str">
        <x:v>Gann</x:v>
      </x:c>
      <x:c r="F8" s="9" t="str">
        <x:v>Invalidation</x:v>
      </x:c>
      <x:c r="G8" s="9" t="str">
        <x:v>Note</x:v>
      </x:c>
    </x:row>
    <x:row r="9">
      <x:c r="A9" s="14" t="str">
        <x:f>'Manual Inputs'!A2</x:f>
        <x:v>NVDA</x:v>
      </x:c>
      <x:c r="B9" s="14" t="str">
        <x:f>'Manual Inputs'!C2</x:f>
        <x:v>Core</x:v>
      </x:c>
      <x:c r="C9" s="14" t="str">
        <x:f>'Manual Inputs'!V2</x:f>
        <x:v>Hold</x:v>
      </x:c>
      <x:c r="D9" s="14" t="str">
        <x:f>'Manual Inputs'!X2</x:f>
        <x:v>Missing</x:v>
      </x:c>
      <x:c r="E9" s="14" t="str">
        <x:f>'Manual Inputs'!M2</x:f>
        <x:v>Gann Live</x:v>
      </x:c>
      <x:c r="F9" s="14" t="str">
        <x:f>'Manual Inputs'!W2</x:f>
        <x:v>Fails post-event AVWAP / AI CapEx weakens / RS deteriorates</x:v>
      </x:c>
      <x:c r="G9" s="14" t="str">
        <x:f>IF(D9="Missing","No aggressive action","Review setup")</x:f>
        <x:v>No aggressive action</x:v>
      </x:c>
    </x:row>
    <x:row r="10">
      <x:c r="A10" s="14" t="str">
        <x:f>'Manual Inputs'!A3</x:f>
        <x:v>CRDO</x:v>
      </x:c>
      <x:c r="B10" s="14" t="str">
        <x:f>'Manual Inputs'!C3</x:f>
        <x:v>Swing</x:v>
      </x:c>
      <x:c r="C10" s="14" t="str">
        <x:f>'Manual Inputs'!V3</x:f>
        <x:v>Trim Watch</x:v>
      </x:c>
      <x:c r="D10" s="14" t="str">
        <x:f>'Manual Inputs'!X3</x:f>
        <x:v>Missing</x:v>
      </x:c>
      <x:c r="E10" s="14" t="str">
        <x:f>'Manual Inputs'!M3</x:f>
        <x:v>Gann Live</x:v>
      </x:c>
      <x:c r="F10" s="14" t="str">
        <x:f>'Manual Inputs'!W3</x:f>
        <x:v>Breaks AVWAP / loses RS / revisions down</x:v>
      </x:c>
      <x:c r="G10" s="14" t="str">
        <x:f>IF(D10="Missing","No aggressive action","Review setup")</x:f>
        <x:v>No aggressive action</x:v>
      </x:c>
    </x:row>
    <x:row r="11">
      <x:c r="A11" s="14" t="str">
        <x:f>'Manual Inputs'!A4</x:f>
        <x:v>LITE</x:v>
      </x:c>
      <x:c r="B11" s="14" t="str">
        <x:f>'Manual Inputs'!C4</x:f>
        <x:v>Swing</x:v>
      </x:c>
      <x:c r="C11" s="14" t="str">
        <x:f>'Manual Inputs'!V4</x:f>
        <x:v>Hold</x:v>
      </x:c>
      <x:c r="D11" s="14" t="str">
        <x:f>'Manual Inputs'!X4</x:f>
        <x:v>Missing</x:v>
      </x:c>
      <x:c r="E11" s="14" t="str">
        <x:f>'Manual Inputs'!M4</x:f>
        <x:v>Gann Live</x:v>
      </x:c>
      <x:c r="F11" s="14" t="str">
        <x:f>'Manual Inputs'!W4</x:f>
        <x:v>Optical strong but LITE underperforms peers / guidance weakens</x:v>
      </x:c>
      <x:c r="G11" s="14" t="str">
        <x:f>IF(D11="Missing","No aggressive action","Review setup")</x:f>
        <x:v>No aggressive action</x:v>
      </x:c>
    </x:row>
    <x:row r="12">
      <x:c r="A12" s="14" t="str">
        <x:f>'Manual Inputs'!A5</x:f>
        <x:v>IREN</x:v>
      </x:c>
      <x:c r="B12" s="14" t="str">
        <x:f>'Manual Inputs'!C5</x:f>
        <x:v>Tactical</x:v>
      </x:c>
      <x:c r="C12" s="14" t="str">
        <x:f>'Manual Inputs'!V5</x:f>
        <x:v>Wait</x:v>
      </x:c>
      <x:c r="D12" s="14" t="str">
        <x:f>'Manual Inputs'!X5</x:f>
        <x:v>Missing</x:v>
      </x:c>
      <x:c r="E12" s="14" t="str">
        <x:f>'Manual Inputs'!M5</x:f>
        <x:v>Gann Live</x:v>
      </x:c>
      <x:c r="F12" s="14" t="str">
        <x:f>'Manual Inputs'!W5</x:f>
        <x:v>BTC loses structure / AI compute thesis weakens / dilution risk rises</x:v>
      </x:c>
      <x:c r="G12" s="14" t="str">
        <x:f>IF(D12="Missing","No aggressive action","Review setup")</x:f>
        <x:v>No aggressive action</x:v>
      </x:c>
    </x:row>
    <x:row r="13">
      <x:c r="A13" s="14" t="str">
        <x:f>'Manual Inputs'!A6</x:f>
        <x:v>HOOD</x:v>
      </x:c>
      <x:c r="B13" s="14" t="str">
        <x:f>'Manual Inputs'!C6</x:f>
        <x:v>Research</x:v>
      </x:c>
      <x:c r="C13" s="14" t="str">
        <x:f>'Manual Inputs'!V6</x:f>
        <x:v>Wait</x:v>
      </x:c>
      <x:c r="D13" s="14" t="str">
        <x:f>'Manual Inputs'!X6</x:f>
        <x:v>Missing</x:v>
      </x:c>
      <x:c r="E13" s="14" t="str">
        <x:f>'Manual Inputs'!M6</x:f>
        <x:v>Gann Live</x:v>
      </x:c>
      <x:c r="F13" s="14" t="str">
        <x:f>'Manual Inputs'!W6</x:f>
        <x:v>Regulatory pressure expands / BTC remains liquidation regime</x:v>
      </x:c>
      <x:c r="G13" s="14" t="str">
        <x:f>IF(D13="Missing","No aggressive action","Review setup")</x:f>
        <x:v>No aggressive action</x:v>
      </x:c>
    </x:row>
    <x:row r="14">
      <x:c r="A14" s="14" t="str">
        <x:f>'Manual Inputs'!A7</x:f>
        <x:v>GOOG</x:v>
      </x:c>
      <x:c r="B14" s="14" t="str">
        <x:f>'Manual Inputs'!C7</x:f>
        <x:v>Core</x:v>
      </x:c>
      <x:c r="C14" s="14" t="str">
        <x:f>'Manual Inputs'!V7</x:f>
        <x:v>Hold</x:v>
      </x:c>
      <x:c r="D14" s="14" t="str">
        <x:f>'Manual Inputs'!X7</x:f>
        <x:v>Missing</x:v>
      </x:c>
      <x:c r="E14" s="14" t="str">
        <x:f>'Manual Inputs'!M7</x:f>
        <x:v>Gann Pending</x:v>
      </x:c>
      <x:c r="F14" s="14" t="str">
        <x:f>'Manual Inputs'!W7</x:f>
        <x:v>Cloud/AI capex thesis weakens / RS deteriorates</x:v>
      </x:c>
      <x:c r="G14" s="14" t="str">
        <x:f>IF(D14="Missing","No aggressive action","Review setup")</x:f>
        <x:v>No aggressive action</x:v>
      </x:c>
    </x:row>
    <x:row r="15">
      <x:c r="A15" s="14" t="str">
        <x:f>'Manual Inputs'!A8</x:f>
        <x:v>MSFT</x:v>
      </x:c>
      <x:c r="B15" s="14" t="str">
        <x:f>'Manual Inputs'!C8</x:f>
        <x:v>Core</x:v>
      </x:c>
      <x:c r="C15" s="14" t="str">
        <x:f>'Manual Inputs'!V8</x:f>
        <x:v>Hold</x:v>
      </x:c>
      <x:c r="D15" s="14" t="str">
        <x:f>'Manual Inputs'!X8</x:f>
        <x:v>Missing</x:v>
      </x:c>
      <x:c r="E15" s="14" t="str">
        <x:f>'Manual Inputs'!M8</x:f>
        <x:v>Gann Pending</x:v>
      </x:c>
      <x:c r="F15" s="14" t="str">
        <x:f>'Manual Inputs'!W8</x:f>
        <x:v>Azure/AI capex weakens / margin pressure</x:v>
      </x:c>
      <x:c r="G15" s="14" t="str">
        <x:f>IF(D15="Missing","No aggressive action","Review setup")</x:f>
        <x:v>No aggressive action</x:v>
      </x:c>
    </x:row>
    <x:row r="16">
      <x:c r="A16" s="14" t="str">
        <x:f>'Manual Inputs'!A9</x:f>
        <x:v>AVGO</x:v>
      </x:c>
      <x:c r="B16" s="14" t="str">
        <x:f>'Manual Inputs'!C9</x:f>
        <x:v>Core</x:v>
      </x:c>
      <x:c r="C16" s="14" t="str">
        <x:f>'Manual Inputs'!V9</x:f>
        <x:v>Hold</x:v>
      </x:c>
      <x:c r="D16" s="14" t="str">
        <x:f>'Manual Inputs'!X9</x:f>
        <x:v>Missing</x:v>
      </x:c>
      <x:c r="E16" s="14" t="str">
        <x:f>'Manual Inputs'!M9</x:f>
        <x:v>Gann Pending</x:v>
      </x:c>
      <x:c r="F16" s="14" t="str">
        <x:f>'Manual Inputs'!W9</x:f>
        <x:v>AI ASIC demand weakens / RS deteriorates</x:v>
      </x:c>
      <x:c r="G16" s="14" t="str">
        <x:f>IF(D16="Missing","No aggressive action","Review setup")</x:f>
        <x:v>No aggressive action</x:v>
      </x:c>
    </x:row>
    <x:row r="17">
      <x:c r="A17" s="14" t="str">
        <x:f>'Manual Inputs'!A10</x:f>
        <x:v>RKLB</x:v>
      </x:c>
      <x:c r="B17" s="14" t="str">
        <x:f>'Manual Inputs'!C10</x:f>
        <x:v>Tactical</x:v>
      </x:c>
      <x:c r="C17" s="14" t="str">
        <x:f>'Manual Inputs'!V10</x:f>
        <x:v>Wait</x:v>
      </x:c>
      <x:c r="D17" s="14" t="str">
        <x:f>'Manual Inputs'!X10</x:f>
        <x:v>Missing</x:v>
      </x:c>
      <x:c r="E17" s="14" t="str">
        <x:f>'Manual Inputs'!M10</x:f>
        <x:v>Gann Pending</x:v>
      </x:c>
      <x:c r="F17" s="14" t="str">
        <x:f>'Manual Inputs'!W10</x:f>
        <x:v>Space theme fades / failed breakout</x:v>
      </x:c>
      <x:c r="G17" s="14" t="str">
        <x:f>IF(D17="Missing","No aggressive action","Review setup")</x:f>
        <x:v>No aggressive action</x:v>
      </x:c>
    </x:row>
    <x:row r="18">
      <x:c r="A18" s="14" t="str">
        <x:f>'Manual Inputs'!A11</x:f>
        <x:v>IONQ</x:v>
      </x:c>
      <x:c r="B18" s="14" t="str">
        <x:f>'Manual Inputs'!C11</x:f>
        <x:v>Tactical</x:v>
      </x:c>
      <x:c r="C18" s="14" t="str">
        <x:f>'Manual Inputs'!V11</x:f>
        <x:v>Wait</x:v>
      </x:c>
      <x:c r="D18" s="14" t="str">
        <x:f>'Manual Inputs'!X11</x:f>
        <x:v>Missing</x:v>
      </x:c>
      <x:c r="E18" s="14" t="str">
        <x:f>'Manual Inputs'!M11</x:f>
        <x:v>Gann Pending</x:v>
      </x:c>
      <x:c r="F18" s="14" t="str">
        <x:f>'Manual Inputs'!W11</x:f>
        <x:v>Quantum theme fades / tail-chase without leaders</x:v>
      </x:c>
      <x:c r="G18" s="14" t="str">
        <x:f>IF(D18="Missing","No aggressive action","Review setup")</x:f>
        <x:v>No aggressive action</x:v>
      </x:c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</x:sheetData>
  <x:mergeCells>
    <x:mergeCell ref="A1:G1"/>
    <x:mergeCell ref="A3:G3"/>
  </x:mergeCells>
  <x:conditionalFormatting sqref="C9:C60">
    <x:cfRule type="expression" dxfId="6" priority="1">
      <x:formula>C9="Trim Watch"</x:formula>
    </x:cfRule>
  </x:conditionalFormatting>
  <x:conditionalFormatting sqref="D9:D60">
    <x:cfRule type="expression" dxfId="7" priority="2">
      <x:formula>D9="Missing"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9" t="str">
        <x:v>Ticker</x:v>
      </x:c>
      <x:c r="B1" s="9" t="str">
        <x:v>Priority</x:v>
      </x:c>
      <x:c r="C1" s="9" t="str">
        <x:v>Must-Have Missing Count</x:v>
      </x:c>
      <x:c r="D1" s="9" t="str">
        <x:v>Confidence Cap</x:v>
      </x:c>
      <x:c r="E1" s="9" t="str">
        <x:v>Action Cap</x:v>
      </x:c>
      <x:c r="F1" s="9" t="str">
        <x:v>Can Trade?</x:v>
      </x:c>
      <x:c r="G1" s="9" t="str">
        <x:v>Reason</x:v>
      </x:c>
    </x:row>
    <x:row r="2">
      <x:c r="A2" s="14" t="str">
        <x:f>'Manual Inputs'!A2</x:f>
        <x:v>NVDA</x:v>
      </x:c>
      <x:c r="B2" s="14" t="str">
        <x:f>'Manual Inputs'!D2</x:f>
        <x:v>P1</x:v>
      </x:c>
      <x:c r="C2" s="14" t="n">
        <x:f>SUM(IF(OR('Manual Inputs'!E2="",'Manual Inputs'!E2=0),1,0),IF(OR('Manual Inputs'!F2="",'Manual Inputs'!F2=0),1,0),IF('Manual Inputs'!G2="Unknown",1,0),IF('Manual Inputs'!H2="Unknown",1,0),IF('Manual Inputs'!L2="Unknown",1,0),IF('Manual Inputs'!X2="Missing",1,0))</x:f>
        <x:v>6</x:v>
      </x:c>
      <x:c r="D2" s="14" t="n">
        <x:f>IF(C2=0,80,IF(C2&lt;=2,60,IF(C2&lt;=4,45,30)))</x:f>
        <x:v>30</x:v>
      </x:c>
      <x:c r="E2" s="14" t="str">
        <x:f>IF(D2&lt;45,"Wait Only",IF(D2&lt;60,"No Attack",IF(D2&lt;80,"Build/Hold Only","No Cap")))</x:f>
        <x:v>Wait Only</x:v>
      </x:c>
      <x:c r="F2" s="14" t="str">
        <x:f>IF(OR(E2="Wait Only",E2="No Attack"),"No","Only conservative")</x:f>
        <x:v>No</x:v>
      </x:c>
      <x:c r="G2" s="14" t="str">
        <x:f>IF(C2&gt;0,"Missing must-have data caps action","Data complete")</x:f>
        <x:v>Missing must-have data caps action</x:v>
      </x:c>
    </x:row>
    <x:row r="3">
      <x:c r="A3" s="14" t="str">
        <x:f>'Manual Inputs'!A3</x:f>
        <x:v>CRDO</x:v>
      </x:c>
      <x:c r="B3" s="14" t="str">
        <x:f>'Manual Inputs'!D3</x:f>
        <x:v>P0</x:v>
      </x:c>
      <x:c r="C3" s="14" t="n">
        <x:f>SUM(IF(OR('Manual Inputs'!E3="",'Manual Inputs'!E3=0),1,0),IF(OR('Manual Inputs'!F3="",'Manual Inputs'!F3=0),1,0),IF('Manual Inputs'!G3="Unknown",1,0),IF('Manual Inputs'!H3="Unknown",1,0),IF('Manual Inputs'!L3="Unknown",1,0),IF('Manual Inputs'!X3="Missing",1,0))</x:f>
        <x:v>6</x:v>
      </x:c>
      <x:c r="D3" s="14" t="n">
        <x:f>IF(C3=0,80,IF(C3&lt;=2,60,IF(C3&lt;=4,45,30)))</x:f>
        <x:v>30</x:v>
      </x:c>
      <x:c r="E3" s="14" t="str">
        <x:f>IF(D3&lt;45,"Wait Only",IF(D3&lt;60,"No Attack",IF(D3&lt;80,"Build/Hold Only","No Cap")))</x:f>
        <x:v>Wait Only</x:v>
      </x:c>
      <x:c r="F3" s="14" t="str">
        <x:f>IF(OR(E3="Wait Only",E3="No Attack"),"No","Only conservative")</x:f>
        <x:v>No</x:v>
      </x:c>
      <x:c r="G3" s="14" t="str">
        <x:f>IF(C3&gt;0,"Missing must-have data caps action","Data complete")</x:f>
        <x:v>Missing must-have data caps action</x:v>
      </x:c>
    </x:row>
    <x:row r="4">
      <x:c r="A4" s="14" t="str">
        <x:f>'Manual Inputs'!A4</x:f>
        <x:v>LITE</x:v>
      </x:c>
      <x:c r="B4" s="14" t="str">
        <x:f>'Manual Inputs'!D4</x:f>
        <x:v>P0</x:v>
      </x:c>
      <x:c r="C4" s="14" t="n">
        <x:f>SUM(IF(OR('Manual Inputs'!E4="",'Manual Inputs'!E4=0),1,0),IF(OR('Manual Inputs'!F4="",'Manual Inputs'!F4=0),1,0),IF('Manual Inputs'!G4="Unknown",1,0),IF('Manual Inputs'!H4="Unknown",1,0),IF('Manual Inputs'!L4="Unknown",1,0),IF('Manual Inputs'!X4="Missing",1,0))</x:f>
        <x:v>6</x:v>
      </x:c>
      <x:c r="D4" s="14" t="n">
        <x:f>IF(C4=0,80,IF(C4&lt;=2,60,IF(C4&lt;=4,45,30)))</x:f>
        <x:v>30</x:v>
      </x:c>
      <x:c r="E4" s="14" t="str">
        <x:f>IF(D4&lt;45,"Wait Only",IF(D4&lt;60,"No Attack",IF(D4&lt;80,"Build/Hold Only","No Cap")))</x:f>
        <x:v>Wait Only</x:v>
      </x:c>
      <x:c r="F4" s="14" t="str">
        <x:f>IF(OR(E4="Wait Only",E4="No Attack"),"No","Only conservative")</x:f>
        <x:v>No</x:v>
      </x:c>
      <x:c r="G4" s="14" t="str">
        <x:f>IF(C4&gt;0,"Missing must-have data caps action","Data complete")</x:f>
        <x:v>Missing must-have data caps action</x:v>
      </x:c>
    </x:row>
    <x:row r="5">
      <x:c r="A5" s="14" t="str">
        <x:f>'Manual Inputs'!A5</x:f>
        <x:v>IREN</x:v>
      </x:c>
      <x:c r="B5" s="14" t="str">
        <x:f>'Manual Inputs'!D5</x:f>
        <x:v>P1</x:v>
      </x:c>
      <x:c r="C5" s="14" t="n">
        <x:f>SUM(IF(OR('Manual Inputs'!E5="",'Manual Inputs'!E5=0),1,0),IF(OR('Manual Inputs'!F5="",'Manual Inputs'!F5=0),1,0),IF('Manual Inputs'!G5="Unknown",1,0),IF('Manual Inputs'!H5="Unknown",1,0),IF('Manual Inputs'!L5="Unknown",1,0),IF('Manual Inputs'!X5="Missing",1,0))</x:f>
        <x:v>6</x:v>
      </x:c>
      <x:c r="D5" s="14" t="n">
        <x:f>IF(C5=0,80,IF(C5&lt;=2,60,IF(C5&lt;=4,45,30)))</x:f>
        <x:v>30</x:v>
      </x:c>
      <x:c r="E5" s="14" t="str">
        <x:f>IF(D5&lt;45,"Wait Only",IF(D5&lt;60,"No Attack",IF(D5&lt;80,"Build/Hold Only","No Cap")))</x:f>
        <x:v>Wait Only</x:v>
      </x:c>
      <x:c r="F5" s="14" t="str">
        <x:f>IF(OR(E5="Wait Only",E5="No Attack"),"No","Only conservative")</x:f>
        <x:v>No</x:v>
      </x:c>
      <x:c r="G5" s="14" t="str">
        <x:f>IF(C5&gt;0,"Missing must-have data caps action","Data complete")</x:f>
        <x:v>Missing must-have data caps action</x:v>
      </x:c>
    </x:row>
    <x:row r="6">
      <x:c r="A6" s="14" t="str">
        <x:f>'Manual Inputs'!A6</x:f>
        <x:v>HOOD</x:v>
      </x:c>
      <x:c r="B6" s="14" t="str">
        <x:f>'Manual Inputs'!D6</x:f>
        <x:v>P1</x:v>
      </x:c>
      <x:c r="C6" s="14" t="n">
        <x:f>SUM(IF(OR('Manual Inputs'!E6="",'Manual Inputs'!E6=0),1,0),IF(OR('Manual Inputs'!F6="",'Manual Inputs'!F6=0),1,0),IF('Manual Inputs'!G6="Unknown",1,0),IF('Manual Inputs'!H6="Unknown",1,0),IF('Manual Inputs'!L6="Unknown",1,0),IF('Manual Inputs'!X6="Missing",1,0))</x:f>
        <x:v>6</x:v>
      </x:c>
      <x:c r="D6" s="14" t="n">
        <x:f>IF(C6=0,80,IF(C6&lt;=2,60,IF(C6&lt;=4,45,30)))</x:f>
        <x:v>30</x:v>
      </x:c>
      <x:c r="E6" s="14" t="str">
        <x:f>IF(D6&lt;45,"Wait Only",IF(D6&lt;60,"No Attack",IF(D6&lt;80,"Build/Hold Only","No Cap")))</x:f>
        <x:v>Wait Only</x:v>
      </x:c>
      <x:c r="F6" s="14" t="str">
        <x:f>IF(OR(E6="Wait Only",E6="No Attack"),"No","Only conservative")</x:f>
        <x:v>No</x:v>
      </x:c>
      <x:c r="G6" s="14" t="str">
        <x:f>IF(C6&gt;0,"Missing must-have data caps action","Data complete")</x:f>
        <x:v>Missing must-have data caps action</x:v>
      </x:c>
    </x:row>
    <x:row r="7">
      <x:c r="A7" s="14" t="str">
        <x:f>'Manual Inputs'!A7</x:f>
        <x:v>GOOG</x:v>
      </x:c>
      <x:c r="B7" s="14" t="str">
        <x:f>'Manual Inputs'!D7</x:f>
        <x:v>P1</x:v>
      </x:c>
      <x:c r="C7" s="14" t="n">
        <x:f>SUM(IF(OR('Manual Inputs'!E7="",'Manual Inputs'!E7=0),1,0),IF(OR('Manual Inputs'!F7="",'Manual Inputs'!F7=0),1,0),IF('Manual Inputs'!G7="Unknown",1,0),IF('Manual Inputs'!H7="Unknown",1,0),IF('Manual Inputs'!L7="Unknown",1,0),IF('Manual Inputs'!X7="Missing",1,0))</x:f>
        <x:v>6</x:v>
      </x:c>
      <x:c r="D7" s="14" t="n">
        <x:f>IF(C7=0,80,IF(C7&lt;=2,60,IF(C7&lt;=4,45,30)))</x:f>
        <x:v>30</x:v>
      </x:c>
      <x:c r="E7" s="14" t="str">
        <x:f>IF(D7&lt;45,"Wait Only",IF(D7&lt;60,"No Attack",IF(D7&lt;80,"Build/Hold Only","No Cap")))</x:f>
        <x:v>Wait Only</x:v>
      </x:c>
      <x:c r="F7" s="14" t="str">
        <x:f>IF(OR(E7="Wait Only",E7="No Attack"),"No","Only conservative")</x:f>
        <x:v>No</x:v>
      </x:c>
      <x:c r="G7" s="14" t="str">
        <x:f>IF(C7&gt;0,"Missing must-have data caps action","Data complete")</x:f>
        <x:v>Missing must-have data caps action</x:v>
      </x:c>
    </x:row>
    <x:row r="8">
      <x:c r="A8" s="14" t="str">
        <x:f>'Manual Inputs'!A8</x:f>
        <x:v>MSFT</x:v>
      </x:c>
      <x:c r="B8" s="14" t="str">
        <x:f>'Manual Inputs'!D8</x:f>
        <x:v>P1</x:v>
      </x:c>
      <x:c r="C8" s="14" t="n">
        <x:f>SUM(IF(OR('Manual Inputs'!E8="",'Manual Inputs'!E8=0),1,0),IF(OR('Manual Inputs'!F8="",'Manual Inputs'!F8=0),1,0),IF('Manual Inputs'!G8="Unknown",1,0),IF('Manual Inputs'!H8="Unknown",1,0),IF('Manual Inputs'!L8="Unknown",1,0),IF('Manual Inputs'!X8="Missing",1,0))</x:f>
        <x:v>6</x:v>
      </x:c>
      <x:c r="D8" s="14" t="n">
        <x:f>IF(C8=0,80,IF(C8&lt;=2,60,IF(C8&lt;=4,45,30)))</x:f>
        <x:v>30</x:v>
      </x:c>
      <x:c r="E8" s="14" t="str">
        <x:f>IF(D8&lt;45,"Wait Only",IF(D8&lt;60,"No Attack",IF(D8&lt;80,"Build/Hold Only","No Cap")))</x:f>
        <x:v>Wait Only</x:v>
      </x:c>
      <x:c r="F8" s="14" t="str">
        <x:f>IF(OR(E8="Wait Only",E8="No Attack"),"No","Only conservative")</x:f>
        <x:v>No</x:v>
      </x:c>
      <x:c r="G8" s="14" t="str">
        <x:f>IF(C8&gt;0,"Missing must-have data caps action","Data complete")</x:f>
        <x:v>Missing must-have data caps action</x:v>
      </x:c>
    </x:row>
    <x:row r="9">
      <x:c r="A9" s="14" t="str">
        <x:f>'Manual Inputs'!A9</x:f>
        <x:v>AVGO</x:v>
      </x:c>
      <x:c r="B9" s="14" t="str">
        <x:f>'Manual Inputs'!D9</x:f>
        <x:v>P1</x:v>
      </x:c>
      <x:c r="C9" s="14" t="n">
        <x:f>SUM(IF(OR('Manual Inputs'!E9="",'Manual Inputs'!E9=0),1,0),IF(OR('Manual Inputs'!F9="",'Manual Inputs'!F9=0),1,0),IF('Manual Inputs'!G9="Unknown",1,0),IF('Manual Inputs'!H9="Unknown",1,0),IF('Manual Inputs'!L9="Unknown",1,0),IF('Manual Inputs'!X9="Missing",1,0))</x:f>
        <x:v>6</x:v>
      </x:c>
      <x:c r="D9" s="14" t="n">
        <x:f>IF(C9=0,80,IF(C9&lt;=2,60,IF(C9&lt;=4,45,30)))</x:f>
        <x:v>30</x:v>
      </x:c>
      <x:c r="E9" s="14" t="str">
        <x:f>IF(D9&lt;45,"Wait Only",IF(D9&lt;60,"No Attack",IF(D9&lt;80,"Build/Hold Only","No Cap")))</x:f>
        <x:v>Wait Only</x:v>
      </x:c>
      <x:c r="F9" s="14" t="str">
        <x:f>IF(OR(E9="Wait Only",E9="No Attack"),"No","Only conservative")</x:f>
        <x:v>No</x:v>
      </x:c>
      <x:c r="G9" s="14" t="str">
        <x:f>IF(C9&gt;0,"Missing must-have data caps action","Data complete")</x:f>
        <x:v>Missing must-have data caps action</x:v>
      </x:c>
    </x:row>
    <x:row r="10">
      <x:c r="A10" s="14" t="str">
        <x:f>'Manual Inputs'!A10</x:f>
        <x:v>RKLB</x:v>
      </x:c>
      <x:c r="B10" s="14" t="str">
        <x:f>'Manual Inputs'!D10</x:f>
        <x:v>P2</x:v>
      </x:c>
      <x:c r="C10" s="14" t="n">
        <x:f>SUM(IF(OR('Manual Inputs'!E10="",'Manual Inputs'!E10=0),1,0),IF(OR('Manual Inputs'!F10="",'Manual Inputs'!F10=0),1,0),IF('Manual Inputs'!G10="Unknown",1,0),IF('Manual Inputs'!H10="Unknown",1,0),IF('Manual Inputs'!L10="Unknown",1,0),IF('Manual Inputs'!X10="Missing",1,0))</x:f>
        <x:v>6</x:v>
      </x:c>
      <x:c r="D10" s="14" t="n">
        <x:f>IF(C10=0,80,IF(C10&lt;=2,60,IF(C10&lt;=4,45,30)))</x:f>
        <x:v>30</x:v>
      </x:c>
      <x:c r="E10" s="14" t="str">
        <x:f>IF(D10&lt;45,"Wait Only",IF(D10&lt;60,"No Attack",IF(D10&lt;80,"Build/Hold Only","No Cap")))</x:f>
        <x:v>Wait Only</x:v>
      </x:c>
      <x:c r="F10" s="14" t="str">
        <x:f>IF(OR(E10="Wait Only",E10="No Attack"),"No","Only conservative")</x:f>
        <x:v>No</x:v>
      </x:c>
      <x:c r="G10" s="14" t="str">
        <x:f>IF(C10&gt;0,"Missing must-have data caps action","Data complete")</x:f>
        <x:v>Missing must-have data caps action</x:v>
      </x:c>
    </x:row>
    <x:row r="11">
      <x:c r="A11" s="14" t="str">
        <x:f>'Manual Inputs'!A11</x:f>
        <x:v>IONQ</x:v>
      </x:c>
      <x:c r="B11" s="14" t="str">
        <x:f>'Manual Inputs'!D11</x:f>
        <x:v>P2</x:v>
      </x:c>
      <x:c r="C11" s="14" t="n">
        <x:f>SUM(IF(OR('Manual Inputs'!E11="",'Manual Inputs'!E11=0),1,0),IF(OR('Manual Inputs'!F11="",'Manual Inputs'!F11=0),1,0),IF('Manual Inputs'!G11="Unknown",1,0),IF('Manual Inputs'!H11="Unknown",1,0),IF('Manual Inputs'!L11="Unknown",1,0),IF('Manual Inputs'!X11="Missing",1,0))</x:f>
        <x:v>6</x:v>
      </x:c>
      <x:c r="D11" s="14" t="n">
        <x:f>IF(C11=0,80,IF(C11&lt;=2,60,IF(C11&lt;=4,45,30)))</x:f>
        <x:v>30</x:v>
      </x:c>
      <x:c r="E11" s="14" t="str">
        <x:f>IF(D11&lt;45,"Wait Only",IF(D11&lt;60,"No Attack",IF(D11&lt;80,"Build/Hold Only","No Cap")))</x:f>
        <x:v>Wait Only</x:v>
      </x:c>
      <x:c r="F11" s="14" t="str">
        <x:f>IF(OR(E11="Wait Only",E11="No Attack"),"No","Only conservative")</x:f>
        <x:v>No</x:v>
      </x:c>
      <x:c r="G11" s="14" t="str">
        <x:f>IF(C11&gt;0,"Missing must-have data caps action","Data complete")</x:f>
        <x:v>Missing must-have data caps action</x:v>
      </x:c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</x:sheetData>
  <x:conditionalFormatting sqref="C2:D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E2:E200">
    <x:cfRule type="expression" dxfId="4" priority="2">
      <x:formula>E2="Wait Only"</x:formula>
    </x:cfRule>
    <x:cfRule type="expression" dxfId="5" priority="3">
      <x:formula>E2="No Cap"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22b2fd84ae4f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28" hidden="0" customWidth="1"/>
    <x:col min="6" max="6" width="42" hidden="0" customWidth="1"/>
    <x:col min="7" max="7" width="16" hidden="0" customWidth="1"/>
    <x:col min="8" max="8" width="14" hidden="0" customWidth="1"/>
    <x:col min="9" max="9" width="16" hidden="0" customWidth="1"/>
    <x:col min="10" max="10" width="14" hidden="0" customWidth="1"/>
    <x:col min="11" max="11" width="12" hidden="0" customWidth="1"/>
    <x:col min="12" max="12" width="12" hidden="0" customWidth="1"/>
    <x:col min="13" max="13" width="13" hidden="0" customWidth="1"/>
    <x:col min="14" max="14" width="14" hidden="0" customWidth="1"/>
    <x:col min="15" max="15" width="16" hidden="0" customWidth="1"/>
    <x:col min="16" max="16" width="36" hidden="0" customWidth="1"/>
    <x:col min="17" max="17" width="36" hidden="0" customWidth="1"/>
    <x:col min="18" max="18" width="34" hidden="0" customWidth="1"/>
    <x:col min="19" max="19" width="16" hidden="0" customWidth="1"/>
    <x:col min="20" max="20" width="22" hidden="0" customWidth="1"/>
    <x:col min="21" max="21" width="12" hidden="0" customWidth="1"/>
    <x:col min="22" max="22" width="24" hidden="0" customWidth="1"/>
  </x:cols>
  <x:sheetData>
    <x:row r="1">
      <x:c r="A1" s="9" t="str">
        <x:v>Packet ID</x:v>
      </x:c>
      <x:c r="B1" s="9" t="str">
        <x:v>Date</x:v>
      </x:c>
      <x:c r="C1" s="9" t="str">
        <x:v>Ticker(s)</x:v>
      </x:c>
      <x:c r="D1" s="9" t="str">
        <x:v>Source Type</x:v>
      </x:c>
      <x:c r="E1" s="9" t="str">
        <x:v>Source Name / URL</x:v>
      </x:c>
      <x:c r="F1" s="9" t="str">
        <x:v>Claim</x:v>
      </x:c>
      <x:c r="G1" s="9" t="str">
        <x:v>Claim Type</x:v>
      </x:c>
      <x:c r="H1" s="9" t="str">
        <x:v>Time Horizon</x:v>
      </x:c>
      <x:c r="I1" s="9" t="str">
        <x:v>Bull/Bear/Neutral</x:v>
      </x:c>
      <x:c r="J1" s="9" t="str">
        <x:v>Evidence Quality</x:v>
      </x:c>
      <x:c r="K1" s="9" t="str">
        <x:v>Bias Risk</x:v>
      </x:c>
      <x:c r="L1" s="9" t="str">
        <x:v>Freshness</x:v>
      </x:c>
      <x:c r="M1" s="9" t="str">
        <x:v>Specificity</x:v>
      </x:c>
      <x:c r="N1" s="9" t="str">
        <x:v>Actionability</x:v>
      </x:c>
      <x:c r="O1" s="9" t="str">
        <x:v>Counter Evidence Required?</x:v>
      </x:c>
      <x:c r="P1" s="9" t="str">
        <x:v>Counter Evidence</x:v>
      </x:c>
      <x:c r="Q1" s="9" t="str">
        <x:v>What Would Prove It Wrong?</x:v>
      </x:c>
      <x:c r="R1" s="9" t="str">
        <x:v>Linked Data Fields Needed</x:v>
      </x:c>
      <x:c r="S1" s="9" t="str">
        <x:v>Final Evidence Score</x:v>
      </x:c>
      <x:c r="T1" s="9" t="str">
        <x:v>Action Gate</x:v>
      </x:c>
      <x:c r="U1" s="9" t="str">
        <x:v>Status</x:v>
      </x:c>
      <x:c r="V1" s="9" t="str">
        <x:v>Notes</x:v>
      </x:c>
    </x:row>
    <x:row r="2">
      <x:c r="A2" s="14" t="str">
        <x:v>EP-0001</x:v>
      </x:c>
      <x:c r="B2" s="14" t="str">
        <x:v>2026-05-24</x:v>
      </x:c>
      <x:c r="C2" s="14" t="str">
        <x:v>CRDO,LITE,COHR</x:v>
      </x:c>
      <x:c r="D2" s="14" t="str">
        <x:v>User Observation</x:v>
      </x:c>
      <x:c r="E2" s="14" t="str">
        <x:v>Manual note</x:v>
      </x:c>
      <x:c r="F2" s="14" t="str">
        <x:v>Optical/AI Infra remains strong but second-line names may be crowded.</x:v>
      </x:c>
      <x:c r="G2" s="14" t="str">
        <x:v>Interpretation</x:v>
      </x:c>
      <x:c r="H2" s="14" t="str">
        <x:v>1-4 weeks</x:v>
      </x:c>
      <x:c r="I2" s="14" t="str">
        <x:v>Neutral</x:v>
      </x:c>
      <x:c r="J2" s="14" t="n">
        <x:v>45</x:v>
      </x:c>
      <x:c r="K2" s="14" t="n">
        <x:v>45</x:v>
      </x:c>
      <x:c r="L2" s="14" t="n">
        <x:v>70</x:v>
      </x:c>
      <x:c r="M2" s="14" t="n">
        <x:v>65</x:v>
      </x:c>
      <x:c r="N2" s="14" t="n">
        <x:v>60</x:v>
      </x:c>
      <x:c r="O2" s="14" t="str">
        <x:v>Yes</x:v>
      </x:c>
      <x:c r="P2" s="14" t="str">
        <x:v>Need real relative strength, volume, revisions, peer confirmation.</x:v>
      </x:c>
      <x:c r="Q2" s="14" t="str">
        <x:v>Optical leaders break down or CRDO loses RS vs peers.</x:v>
      </x:c>
      <x:c r="R2" s="14" t="str">
        <x:v>RS vs peers; volume; AVWAP; revisions</x:v>
      </x:c>
      <x:c r="S2" s="14" t="n">
        <x:f>ROUND(J2*0.30+(100-K2)*0.15+L2*0.15+M2*0.15+N2*0.15+IF(O2="Yes",10,0),0)</x:f>
        <x:v>61</x:v>
      </x:c>
      <x:c r="T2" s="14" t="str">
        <x:f>IF(S2&gt;=75,"Can Influence Action",IF(S2&gt;=60,"Can Influence Watch",IF(S2&gt;=45,"Research Only","Do Not Use")))</x:f>
        <x:v>Can Influence Watch</x:v>
      </x:c>
      <x:c r="U2" s="14" t="str">
        <x:v>Open</x:v>
      </x:c>
      <x:c r="V2" s="14" t="str"/>
    </x:row>
    <x:row r="3">
      <x:c r="A3" s="14" t="str">
        <x:v>EP-0002</x:v>
      </x:c>
      <x:c r="B3" s="14" t="str">
        <x:v>2026-05-24</x:v>
      </x:c>
      <x:c r="C3" s="14" t="str">
        <x:v>HOOD,IREN,BTC</x:v>
      </x:c>
      <x:c r="D3" s="14" t="str">
        <x:v>User Observation</x:v>
      </x:c>
      <x:c r="E3" s="14" t="str">
        <x:v>Manual note</x:v>
      </x:c>
      <x:c r="F3" s="14" t="str">
        <x:v>BTC/fintech/compute proxies may offer opportunity after reset.</x:v>
      </x:c>
      <x:c r="G3" s="14" t="str">
        <x:v>Forecast</x:v>
      </x:c>
      <x:c r="H3" s="14" t="str">
        <x:v>1-8 weeks</x:v>
      </x:c>
      <x:c r="I3" s="14" t="str">
        <x:v>Bull</x:v>
      </x:c>
      <x:c r="J3" s="14" t="n">
        <x:v>40</x:v>
      </x:c>
      <x:c r="K3" s="14" t="n">
        <x:v>55</x:v>
      </x:c>
      <x:c r="L3" s="14" t="n">
        <x:v>75</x:v>
      </x:c>
      <x:c r="M3" s="14" t="n">
        <x:v>55</x:v>
      </x:c>
      <x:c r="N3" s="14" t="n">
        <x:v>55</x:v>
      </x:c>
      <x:c r="O3" s="14" t="str">
        <x:v>Yes</x:v>
      </x:c>
      <x:c r="P3" s="14" t="str">
        <x:v>Need BTC structure, regulatory details, HOOD/IREN activity data.</x:v>
      </x:c>
      <x:c r="Q3" s="14" t="str">
        <x:v>BTC remains liquidation regime or regulatory pressure expands.</x:v>
      </x:c>
      <x:c r="R3" s="14" t="str">
        <x:v>BTC trend; HOOD RS; IREN RS; regulatory news</x:v>
      </x:c>
      <x:c r="S3" s="14" t="n">
        <x:f>ROUND(J3*0.30+(100-K3)*0.15+L3*0.15+M3*0.15+N3*0.15+IF(O3="Yes",10,0),0)</x:f>
        <x:v>57</x:v>
      </x:c>
      <x:c r="T3" s="14" t="str">
        <x:f>IF(S3&gt;=75,"Can Influence Action",IF(S3&gt;=60,"Can Influence Watch",IF(S3&gt;=45,"Research Only","Do Not Use")))</x:f>
        <x:v>Research Only</x:v>
      </x:c>
      <x:c r="U3" s="14" t="str">
        <x:v>Open</x:v>
      </x:c>
      <x:c r="V3" s="14" t="str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 t="n">
        <x:f>ROUND(J4*0.30+(100-K4)*0.15+L4*0.15+M4*0.15+N4*0.15+IF(O4="Yes",10,0),0)</x:f>
        <x:v>15</x:v>
      </x:c>
      <x:c r="T4" s="14" t="str">
        <x:f>IF(S4&gt;=75,"Can Influence Action",IF(S4&gt;=60,"Can Influence Watch",IF(S4&gt;=45,"Research Only","Do Not Use")))</x:f>
        <x:v>Do Not Use</x:v>
      </x:c>
      <x:c r="U4" s="14"/>
      <x:c r="V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 t="n">
        <x:f>ROUND(J5*0.30+(100-K5)*0.15+L5*0.15+M5*0.15+N5*0.15+IF(O5="Yes",10,0),0)</x:f>
        <x:v>15</x:v>
      </x:c>
      <x:c r="T5" s="14" t="str">
        <x:f>IF(S5&gt;=75,"Can Influence Action",IF(S5&gt;=60,"Can Influence Watch",IF(S5&gt;=45,"Research Only","Do Not Use")))</x:f>
        <x:v>Do Not Use</x:v>
      </x:c>
      <x:c r="U5" s="14"/>
      <x:c r="V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 t="n">
        <x:f>ROUND(J6*0.30+(100-K6)*0.15+L6*0.15+M6*0.15+N6*0.15+IF(O6="Yes",10,0),0)</x:f>
        <x:v>15</x:v>
      </x:c>
      <x:c r="T6" s="14" t="str">
        <x:f>IF(S6&gt;=75,"Can Influence Action",IF(S6&gt;=60,"Can Influence Watch",IF(S6&gt;=45,"Research Only","Do Not Use")))</x:f>
        <x:v>Do Not Use</x:v>
      </x:c>
      <x:c r="U6" s="14"/>
      <x:c r="V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 t="n">
        <x:f>ROUND(J7*0.30+(100-K7)*0.15+L7*0.15+M7*0.15+N7*0.15+IF(O7="Yes",10,0),0)</x:f>
        <x:v>15</x:v>
      </x:c>
      <x:c r="T7" s="14" t="str">
        <x:f>IF(S7&gt;=75,"Can Influence Action",IF(S7&gt;=60,"Can Influence Watch",IF(S7&gt;=45,"Research Only","Do Not Use")))</x:f>
        <x:v>Do Not Use</x:v>
      </x:c>
      <x:c r="U7" s="14"/>
      <x:c r="V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 t="n">
        <x:f>ROUND(J8*0.30+(100-K8)*0.15+L8*0.15+M8*0.15+N8*0.15+IF(O8="Yes",10,0),0)</x:f>
        <x:v>15</x:v>
      </x:c>
      <x:c r="T8" s="14" t="str">
        <x:f>IF(S8&gt;=75,"Can Influence Action",IF(S8&gt;=60,"Can Influence Watch",IF(S8&gt;=45,"Research Only","Do Not Use")))</x:f>
        <x:v>Do Not Use</x:v>
      </x:c>
      <x:c r="U8" s="14"/>
      <x:c r="V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 t="n">
        <x:f>ROUND(J9*0.30+(100-K9)*0.15+L9*0.15+M9*0.15+N9*0.15+IF(O9="Yes",10,0),0)</x:f>
        <x:v>15</x:v>
      </x:c>
      <x:c r="T9" s="14" t="str">
        <x:f>IF(S9&gt;=75,"Can Influence Action",IF(S9&gt;=60,"Can Influence Watch",IF(S9&gt;=45,"Research Only","Do Not Use")))</x:f>
        <x:v>Do Not Use</x:v>
      </x:c>
      <x:c r="U9" s="14"/>
      <x:c r="V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 t="n">
        <x:f>ROUND(J10*0.30+(100-K10)*0.15+L10*0.15+M10*0.15+N10*0.15+IF(O10="Yes",10,0),0)</x:f>
        <x:v>15</x:v>
      </x:c>
      <x:c r="T10" s="14" t="str">
        <x:f>IF(S10&gt;=75,"Can Influence Action",IF(S10&gt;=60,"Can Influence Watch",IF(S10&gt;=45,"Research Only","Do Not Use")))</x:f>
        <x:v>Do Not Use</x:v>
      </x:c>
      <x:c r="U10" s="14"/>
      <x:c r="V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 t="n">
        <x:f>ROUND(J11*0.30+(100-K11)*0.15+L11*0.15+M11*0.15+N11*0.15+IF(O11="Yes",10,0),0)</x:f>
        <x:v>15</x:v>
      </x:c>
      <x:c r="T11" s="14" t="str">
        <x:f>IF(S11&gt;=75,"Can Influence Action",IF(S11&gt;=60,"Can Influence Watch",IF(S11&gt;=45,"Research Only","Do Not Use")))</x:f>
        <x:v>Do Not Use</x:v>
      </x:c>
      <x:c r="U11" s="14"/>
      <x:c r="V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 t="n">
        <x:f>ROUND(J12*0.30+(100-K12)*0.15+L12*0.15+M12*0.15+N12*0.15+IF(O12="Yes",10,0),0)</x:f>
        <x:v>15</x:v>
      </x:c>
      <x:c r="T12" s="14" t="str">
        <x:f>IF(S12&gt;=75,"Can Influence Action",IF(S12&gt;=60,"Can Influence Watch",IF(S12&gt;=45,"Research Only","Do Not Use")))</x:f>
        <x:v>Do Not Use</x:v>
      </x:c>
      <x:c r="U12" s="14"/>
      <x:c r="V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 t="n">
        <x:f>ROUND(J13*0.30+(100-K13)*0.15+L13*0.15+M13*0.15+N13*0.15+IF(O13="Yes",10,0),0)</x:f>
        <x:v>15</x:v>
      </x:c>
      <x:c r="T13" s="14" t="str">
        <x:f>IF(S13&gt;=75,"Can Influence Action",IF(S13&gt;=60,"Can Influence Watch",IF(S13&gt;=45,"Research Only","Do Not Use")))</x:f>
        <x:v>Do Not Use</x:v>
      </x:c>
      <x:c r="U13" s="14"/>
      <x:c r="V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 t="n">
        <x:f>ROUND(J14*0.30+(100-K14)*0.15+L14*0.15+M14*0.15+N14*0.15+IF(O14="Yes",10,0),0)</x:f>
        <x:v>15</x:v>
      </x:c>
      <x:c r="T14" s="14" t="str">
        <x:f>IF(S14&gt;=75,"Can Influence Action",IF(S14&gt;=60,"Can Influence Watch",IF(S14&gt;=45,"Research Only","Do Not Use")))</x:f>
        <x:v>Do Not Use</x:v>
      </x:c>
      <x:c r="U14" s="14"/>
      <x:c r="V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 t="n">
        <x:f>ROUND(J15*0.30+(100-K15)*0.15+L15*0.15+M15*0.15+N15*0.15+IF(O15="Yes",10,0),0)</x:f>
        <x:v>15</x:v>
      </x:c>
      <x:c r="T15" s="14" t="str">
        <x:f>IF(S15&gt;=75,"Can Influence Action",IF(S15&gt;=60,"Can Influence Watch",IF(S15&gt;=45,"Research Only","Do Not Use")))</x:f>
        <x:v>Do Not Use</x:v>
      </x:c>
      <x:c r="U15" s="14"/>
      <x:c r="V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 t="n">
        <x:f>ROUND(J16*0.30+(100-K16)*0.15+L16*0.15+M16*0.15+N16*0.15+IF(O16="Yes",10,0),0)</x:f>
        <x:v>15</x:v>
      </x:c>
      <x:c r="T16" s="14" t="str">
        <x:f>IF(S16&gt;=75,"Can Influence Action",IF(S16&gt;=60,"Can Influence Watch",IF(S16&gt;=45,"Research Only","Do Not Use")))</x:f>
        <x:v>Do Not Use</x:v>
      </x:c>
      <x:c r="U16" s="14"/>
      <x:c r="V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 t="n">
        <x:f>ROUND(J17*0.30+(100-K17)*0.15+L17*0.15+M17*0.15+N17*0.15+IF(O17="Yes",10,0),0)</x:f>
        <x:v>15</x:v>
      </x:c>
      <x:c r="T17" s="14" t="str">
        <x:f>IF(S17&gt;=75,"Can Influence Action",IF(S17&gt;=60,"Can Influence Watch",IF(S17&gt;=45,"Research Only","Do Not Use")))</x:f>
        <x:v>Do Not Use</x:v>
      </x:c>
      <x:c r="U17" s="14"/>
      <x:c r="V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 t="n">
        <x:f>ROUND(J18*0.30+(100-K18)*0.15+L18*0.15+M18*0.15+N18*0.15+IF(O18="Yes",10,0),0)</x:f>
        <x:v>15</x:v>
      </x:c>
      <x:c r="T18" s="14" t="str">
        <x:f>IF(S18&gt;=75,"Can Influence Action",IF(S18&gt;=60,"Can Influence Watch",IF(S18&gt;=45,"Research Only","Do Not Use")))</x:f>
        <x:v>Do Not Use</x:v>
      </x:c>
      <x:c r="U18" s="14"/>
      <x:c r="V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 t="n">
        <x:f>ROUND(J19*0.30+(100-K19)*0.15+L19*0.15+M19*0.15+N19*0.15+IF(O19="Yes",10,0),0)</x:f>
        <x:v>15</x:v>
      </x:c>
      <x:c r="T19" s="14" t="str">
        <x:f>IF(S19&gt;=75,"Can Influence Action",IF(S19&gt;=60,"Can Influence Watch",IF(S19&gt;=45,"Research Only","Do Not Use")))</x:f>
        <x:v>Do Not Use</x:v>
      </x:c>
      <x:c r="U19" s="14"/>
      <x:c r="V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 t="n">
        <x:f>ROUND(J20*0.30+(100-K20)*0.15+L20*0.15+M20*0.15+N20*0.15+IF(O20="Yes",10,0),0)</x:f>
        <x:v>15</x:v>
      </x:c>
      <x:c r="T20" s="14" t="str">
        <x:f>IF(S20&gt;=75,"Can Influence Action",IF(S20&gt;=60,"Can Influence Watch",IF(S20&gt;=45,"Research Only","Do Not Use")))</x:f>
        <x:v>Do Not Use</x:v>
      </x:c>
      <x:c r="U20" s="14"/>
      <x:c r="V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 t="n">
        <x:f>ROUND(J21*0.30+(100-K21)*0.15+L21*0.15+M21*0.15+N21*0.15+IF(O21="Yes",10,0),0)</x:f>
        <x:v>15</x:v>
      </x:c>
      <x:c r="T21" s="14" t="str">
        <x:f>IF(S21&gt;=75,"Can Influence Action",IF(S21&gt;=60,"Can Influence Watch",IF(S21&gt;=45,"Research Only","Do Not Use")))</x:f>
        <x:v>Do Not Use</x:v>
      </x:c>
      <x:c r="U21" s="14"/>
      <x:c r="V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 t="n">
        <x:f>ROUND(J22*0.30+(100-K22)*0.15+L22*0.15+M22*0.15+N22*0.15+IF(O22="Yes",10,0),0)</x:f>
        <x:v>15</x:v>
      </x:c>
      <x:c r="T22" s="14" t="str">
        <x:f>IF(S22&gt;=75,"Can Influence Action",IF(S22&gt;=60,"Can Influence Watch",IF(S22&gt;=45,"Research Only","Do Not Use")))</x:f>
        <x:v>Do Not Use</x:v>
      </x:c>
      <x:c r="U22" s="14"/>
      <x:c r="V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 t="n">
        <x:f>ROUND(J23*0.30+(100-K23)*0.15+L23*0.15+M23*0.15+N23*0.15+IF(O23="Yes",10,0),0)</x:f>
        <x:v>15</x:v>
      </x:c>
      <x:c r="T23" s="14" t="str">
        <x:f>IF(S23&gt;=75,"Can Influence Action",IF(S23&gt;=60,"Can Influence Watch",IF(S23&gt;=45,"Research Only","Do Not Use")))</x:f>
        <x:v>Do Not Use</x:v>
      </x:c>
      <x:c r="U23" s="14"/>
      <x:c r="V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 t="n">
        <x:f>ROUND(J24*0.30+(100-K24)*0.15+L24*0.15+M24*0.15+N24*0.15+IF(O24="Yes",10,0),0)</x:f>
        <x:v>15</x:v>
      </x:c>
      <x:c r="T24" s="14" t="str">
        <x:f>IF(S24&gt;=75,"Can Influence Action",IF(S24&gt;=60,"Can Influence Watch",IF(S24&gt;=45,"Research Only","Do Not Use")))</x:f>
        <x:v>Do Not Use</x:v>
      </x:c>
      <x:c r="U24" s="14"/>
      <x:c r="V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 t="n">
        <x:f>ROUND(J25*0.30+(100-K25)*0.15+L25*0.15+M25*0.15+N25*0.15+IF(O25="Yes",10,0),0)</x:f>
        <x:v>15</x:v>
      </x:c>
      <x:c r="T25" s="14" t="str">
        <x:f>IF(S25&gt;=75,"Can Influence Action",IF(S25&gt;=60,"Can Influence Watch",IF(S25&gt;=45,"Research Only","Do Not Use")))</x:f>
        <x:v>Do Not Use</x:v>
      </x:c>
      <x:c r="U25" s="14"/>
      <x:c r="V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 t="n">
        <x:f>ROUND(J26*0.30+(100-K26)*0.15+L26*0.15+M26*0.15+N26*0.15+IF(O26="Yes",10,0),0)</x:f>
        <x:v>15</x:v>
      </x:c>
      <x:c r="T26" s="14" t="str">
        <x:f>IF(S26&gt;=75,"Can Influence Action",IF(S26&gt;=60,"Can Influence Watch",IF(S26&gt;=45,"Research Only","Do Not Use")))</x:f>
        <x:v>Do Not Use</x:v>
      </x:c>
      <x:c r="U26" s="14"/>
      <x:c r="V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 t="n">
        <x:f>ROUND(J27*0.30+(100-K27)*0.15+L27*0.15+M27*0.15+N27*0.15+IF(O27="Yes",10,0),0)</x:f>
        <x:v>15</x:v>
      </x:c>
      <x:c r="T27" s="14" t="str">
        <x:f>IF(S27&gt;=75,"Can Influence Action",IF(S27&gt;=60,"Can Influence Watch",IF(S27&gt;=45,"Research Only","Do Not Use")))</x:f>
        <x:v>Do Not Use</x:v>
      </x:c>
      <x:c r="U27" s="14"/>
      <x:c r="V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 t="n">
        <x:f>ROUND(J28*0.30+(100-K28)*0.15+L28*0.15+M28*0.15+N28*0.15+IF(O28="Yes",10,0),0)</x:f>
        <x:v>15</x:v>
      </x:c>
      <x:c r="T28" s="14" t="str">
        <x:f>IF(S28&gt;=75,"Can Influence Action",IF(S28&gt;=60,"Can Influence Watch",IF(S28&gt;=45,"Research Only","Do Not Use")))</x:f>
        <x:v>Do Not Use</x:v>
      </x:c>
      <x:c r="U28" s="14"/>
      <x:c r="V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 t="n">
        <x:f>ROUND(J29*0.30+(100-K29)*0.15+L29*0.15+M29*0.15+N29*0.15+IF(O29="Yes",10,0),0)</x:f>
        <x:v>15</x:v>
      </x:c>
      <x:c r="T29" s="14" t="str">
        <x:f>IF(S29&gt;=75,"Can Influence Action",IF(S29&gt;=60,"Can Influence Watch",IF(S29&gt;=45,"Research Only","Do Not Use")))</x:f>
        <x:v>Do Not Use</x:v>
      </x:c>
      <x:c r="U29" s="14"/>
      <x:c r="V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 t="n">
        <x:f>ROUND(J30*0.30+(100-K30)*0.15+L30*0.15+M30*0.15+N30*0.15+IF(O30="Yes",10,0),0)</x:f>
        <x:v>15</x:v>
      </x:c>
      <x:c r="T30" s="14" t="str">
        <x:f>IF(S30&gt;=75,"Can Influence Action",IF(S30&gt;=60,"Can Influence Watch",IF(S30&gt;=45,"Research Only","Do Not Use")))</x:f>
        <x:v>Do Not Use</x:v>
      </x:c>
      <x:c r="U30" s="14"/>
      <x:c r="V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 t="n">
        <x:f>ROUND(J31*0.30+(100-K31)*0.15+L31*0.15+M31*0.15+N31*0.15+IF(O31="Yes",10,0),0)</x:f>
        <x:v>15</x:v>
      </x:c>
      <x:c r="T31" s="14" t="str">
        <x:f>IF(S31&gt;=75,"Can Influence Action",IF(S31&gt;=60,"Can Influence Watch",IF(S31&gt;=45,"Research Only","Do Not Use")))</x:f>
        <x:v>Do Not Use</x:v>
      </x:c>
      <x:c r="U31" s="14"/>
      <x:c r="V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 t="n">
        <x:f>ROUND(J32*0.30+(100-K32)*0.15+L32*0.15+M32*0.15+N32*0.15+IF(O32="Yes",10,0),0)</x:f>
        <x:v>15</x:v>
      </x:c>
      <x:c r="T32" s="14" t="str">
        <x:f>IF(S32&gt;=75,"Can Influence Action",IF(S32&gt;=60,"Can Influence Watch",IF(S32&gt;=45,"Research Only","Do Not Use")))</x:f>
        <x:v>Do Not Use</x:v>
      </x:c>
      <x:c r="U32" s="14"/>
      <x:c r="V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 t="n">
        <x:f>ROUND(J33*0.30+(100-K33)*0.15+L33*0.15+M33*0.15+N33*0.15+IF(O33="Yes",10,0),0)</x:f>
        <x:v>15</x:v>
      </x:c>
      <x:c r="T33" s="14" t="str">
        <x:f>IF(S33&gt;=75,"Can Influence Action",IF(S33&gt;=60,"Can Influence Watch",IF(S33&gt;=45,"Research Only","Do Not Use")))</x:f>
        <x:v>Do Not Use</x:v>
      </x:c>
      <x:c r="U33" s="14"/>
      <x:c r="V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 t="n">
        <x:f>ROUND(J34*0.30+(100-K34)*0.15+L34*0.15+M34*0.15+N34*0.15+IF(O34="Yes",10,0),0)</x:f>
        <x:v>15</x:v>
      </x:c>
      <x:c r="T34" s="14" t="str">
        <x:f>IF(S34&gt;=75,"Can Influence Action",IF(S34&gt;=60,"Can Influence Watch",IF(S34&gt;=45,"Research Only","Do Not Use")))</x:f>
        <x:v>Do Not Use</x:v>
      </x:c>
      <x:c r="U34" s="14"/>
      <x:c r="V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 t="n">
        <x:f>ROUND(J35*0.30+(100-K35)*0.15+L35*0.15+M35*0.15+N35*0.15+IF(O35="Yes",10,0),0)</x:f>
        <x:v>15</x:v>
      </x:c>
      <x:c r="T35" s="14" t="str">
        <x:f>IF(S35&gt;=75,"Can Influence Action",IF(S35&gt;=60,"Can Influence Watch",IF(S35&gt;=45,"Research Only","Do Not Use")))</x:f>
        <x:v>Do Not Use</x:v>
      </x:c>
      <x:c r="U35" s="14"/>
      <x:c r="V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 t="n">
        <x:f>ROUND(J36*0.30+(100-K36)*0.15+L36*0.15+M36*0.15+N36*0.15+IF(O36="Yes",10,0),0)</x:f>
        <x:v>15</x:v>
      </x:c>
      <x:c r="T36" s="14" t="str">
        <x:f>IF(S36&gt;=75,"Can Influence Action",IF(S36&gt;=60,"Can Influence Watch",IF(S36&gt;=45,"Research Only","Do Not Use")))</x:f>
        <x:v>Do Not Use</x:v>
      </x:c>
      <x:c r="U36" s="14"/>
      <x:c r="V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 t="n">
        <x:f>ROUND(J37*0.30+(100-K37)*0.15+L37*0.15+M37*0.15+N37*0.15+IF(O37="Yes",10,0),0)</x:f>
        <x:v>15</x:v>
      </x:c>
      <x:c r="T37" s="14" t="str">
        <x:f>IF(S37&gt;=75,"Can Influence Action",IF(S37&gt;=60,"Can Influence Watch",IF(S37&gt;=45,"Research Only","Do Not Use")))</x:f>
        <x:v>Do Not Use</x:v>
      </x:c>
      <x:c r="U37" s="14"/>
      <x:c r="V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 t="n">
        <x:f>ROUND(J38*0.30+(100-K38)*0.15+L38*0.15+M38*0.15+N38*0.15+IF(O38="Yes",10,0),0)</x:f>
        <x:v>15</x:v>
      </x:c>
      <x:c r="T38" s="14" t="str">
        <x:f>IF(S38&gt;=75,"Can Influence Action",IF(S38&gt;=60,"Can Influence Watch",IF(S38&gt;=45,"Research Only","Do Not Use")))</x:f>
        <x:v>Do Not Use</x:v>
      </x:c>
      <x:c r="U38" s="14"/>
      <x:c r="V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 t="n">
        <x:f>ROUND(J39*0.30+(100-K39)*0.15+L39*0.15+M39*0.15+N39*0.15+IF(O39="Yes",10,0),0)</x:f>
        <x:v>15</x:v>
      </x:c>
      <x:c r="T39" s="14" t="str">
        <x:f>IF(S39&gt;=75,"Can Influence Action",IF(S39&gt;=60,"Can Influence Watch",IF(S39&gt;=45,"Research Only","Do Not Use")))</x:f>
        <x:v>Do Not Use</x:v>
      </x:c>
      <x:c r="U39" s="14"/>
      <x:c r="V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 t="n">
        <x:f>ROUND(J40*0.30+(100-K40)*0.15+L40*0.15+M40*0.15+N40*0.15+IF(O40="Yes",10,0),0)</x:f>
        <x:v>15</x:v>
      </x:c>
      <x:c r="T40" s="14" t="str">
        <x:f>IF(S40&gt;=75,"Can Influence Action",IF(S40&gt;=60,"Can Influence Watch",IF(S40&gt;=45,"Research Only","Do Not Use")))</x:f>
        <x:v>Do Not Use</x:v>
      </x:c>
      <x:c r="U40" s="14"/>
      <x:c r="V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 t="n">
        <x:f>ROUND(J41*0.30+(100-K41)*0.15+L41*0.15+M41*0.15+N41*0.15+IF(O41="Yes",10,0),0)</x:f>
        <x:v>15</x:v>
      </x:c>
      <x:c r="T41" s="14" t="str">
        <x:f>IF(S41&gt;=75,"Can Influence Action",IF(S41&gt;=60,"Can Influence Watch",IF(S41&gt;=45,"Research Only","Do Not Use")))</x:f>
        <x:v>Do Not Use</x:v>
      </x:c>
      <x:c r="U41" s="14"/>
      <x:c r="V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 t="n">
        <x:f>ROUND(J42*0.30+(100-K42)*0.15+L42*0.15+M42*0.15+N42*0.15+IF(O42="Yes",10,0),0)</x:f>
        <x:v>15</x:v>
      </x:c>
      <x:c r="T42" s="14" t="str">
        <x:f>IF(S42&gt;=75,"Can Influence Action",IF(S42&gt;=60,"Can Influence Watch",IF(S42&gt;=45,"Research Only","Do Not Use")))</x:f>
        <x:v>Do Not Use</x:v>
      </x:c>
      <x:c r="U42" s="14"/>
      <x:c r="V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 t="n">
        <x:f>ROUND(J43*0.30+(100-K43)*0.15+L43*0.15+M43*0.15+N43*0.15+IF(O43="Yes",10,0),0)</x:f>
        <x:v>15</x:v>
      </x:c>
      <x:c r="T43" s="14" t="str">
        <x:f>IF(S43&gt;=75,"Can Influence Action",IF(S43&gt;=60,"Can Influence Watch",IF(S43&gt;=45,"Research Only","Do Not Use")))</x:f>
        <x:v>Do Not Use</x:v>
      </x:c>
      <x:c r="U43" s="14"/>
      <x:c r="V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 t="n">
        <x:f>ROUND(J44*0.30+(100-K44)*0.15+L44*0.15+M44*0.15+N44*0.15+IF(O44="Yes",10,0),0)</x:f>
        <x:v>15</x:v>
      </x:c>
      <x:c r="T44" s="14" t="str">
        <x:f>IF(S44&gt;=75,"Can Influence Action",IF(S44&gt;=60,"Can Influence Watch",IF(S44&gt;=45,"Research Only","Do Not Use")))</x:f>
        <x:v>Do Not Use</x:v>
      </x:c>
      <x:c r="U44" s="14"/>
      <x:c r="V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 t="n">
        <x:f>ROUND(J45*0.30+(100-K45)*0.15+L45*0.15+M45*0.15+N45*0.15+IF(O45="Yes",10,0),0)</x:f>
        <x:v>15</x:v>
      </x:c>
      <x:c r="T45" s="14" t="str">
        <x:f>IF(S45&gt;=75,"Can Influence Action",IF(S45&gt;=60,"Can Influence Watch",IF(S45&gt;=45,"Research Only","Do Not Use")))</x:f>
        <x:v>Do Not Use</x:v>
      </x:c>
      <x:c r="U45" s="14"/>
      <x:c r="V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 t="n">
        <x:f>ROUND(J46*0.30+(100-K46)*0.15+L46*0.15+M46*0.15+N46*0.15+IF(O46="Yes",10,0),0)</x:f>
        <x:v>15</x:v>
      </x:c>
      <x:c r="T46" s="14" t="str">
        <x:f>IF(S46&gt;=75,"Can Influence Action",IF(S46&gt;=60,"Can Influence Watch",IF(S46&gt;=45,"Research Only","Do Not Use")))</x:f>
        <x:v>Do Not Use</x:v>
      </x:c>
      <x:c r="U46" s="14"/>
      <x:c r="V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 t="n">
        <x:f>ROUND(J47*0.30+(100-K47)*0.15+L47*0.15+M47*0.15+N47*0.15+IF(O47="Yes",10,0),0)</x:f>
        <x:v>15</x:v>
      </x:c>
      <x:c r="T47" s="14" t="str">
        <x:f>IF(S47&gt;=75,"Can Influence Action",IF(S47&gt;=60,"Can Influence Watch",IF(S47&gt;=45,"Research Only","Do Not Use")))</x:f>
        <x:v>Do Not Use</x:v>
      </x:c>
      <x:c r="U47" s="14"/>
      <x:c r="V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 t="n">
        <x:f>ROUND(J48*0.30+(100-K48)*0.15+L48*0.15+M48*0.15+N48*0.15+IF(O48="Yes",10,0),0)</x:f>
        <x:v>15</x:v>
      </x:c>
      <x:c r="T48" s="14" t="str">
        <x:f>IF(S48&gt;=75,"Can Influence Action",IF(S48&gt;=60,"Can Influence Watch",IF(S48&gt;=45,"Research Only","Do Not Use")))</x:f>
        <x:v>Do Not Use</x:v>
      </x:c>
      <x:c r="U48" s="14"/>
      <x:c r="V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 t="n">
        <x:f>ROUND(J49*0.30+(100-K49)*0.15+L49*0.15+M49*0.15+N49*0.15+IF(O49="Yes",10,0),0)</x:f>
        <x:v>15</x:v>
      </x:c>
      <x:c r="T49" s="14" t="str">
        <x:f>IF(S49&gt;=75,"Can Influence Action",IF(S49&gt;=60,"Can Influence Watch",IF(S49&gt;=45,"Research Only","Do Not Use")))</x:f>
        <x:v>Do Not Use</x:v>
      </x:c>
      <x:c r="U49" s="14"/>
      <x:c r="V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 t="n">
        <x:f>ROUND(J50*0.30+(100-K50)*0.15+L50*0.15+M50*0.15+N50*0.15+IF(O50="Yes",10,0),0)</x:f>
        <x:v>15</x:v>
      </x:c>
      <x:c r="T50" s="14" t="str">
        <x:f>IF(S50&gt;=75,"Can Influence Action",IF(S50&gt;=60,"Can Influence Watch",IF(S50&gt;=45,"Research Only","Do Not Use")))</x:f>
        <x:v>Do Not Use</x:v>
      </x:c>
      <x:c r="U50" s="14"/>
      <x:c r="V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 t="n">
        <x:f>ROUND(J51*0.30+(100-K51)*0.15+L51*0.15+M51*0.15+N51*0.15+IF(O51="Yes",10,0),0)</x:f>
        <x:v>15</x:v>
      </x:c>
      <x:c r="T51" s="14" t="str">
        <x:f>IF(S51&gt;=75,"Can Influence Action",IF(S51&gt;=60,"Can Influence Watch",IF(S51&gt;=45,"Research Only","Do Not Use")))</x:f>
        <x:v>Do Not Use</x:v>
      </x:c>
      <x:c r="U51" s="14"/>
      <x:c r="V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 t="n">
        <x:f>ROUND(J52*0.30+(100-K52)*0.15+L52*0.15+M52*0.15+N52*0.15+IF(O52="Yes",10,0),0)</x:f>
        <x:v>15</x:v>
      </x:c>
      <x:c r="T52" s="14" t="str">
        <x:f>IF(S52&gt;=75,"Can Influence Action",IF(S52&gt;=60,"Can Influence Watch",IF(S52&gt;=45,"Research Only","Do Not Use")))</x:f>
        <x:v>Do Not Use</x:v>
      </x:c>
      <x:c r="U52" s="14"/>
      <x:c r="V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 t="n">
        <x:f>ROUND(J53*0.30+(100-K53)*0.15+L53*0.15+M53*0.15+N53*0.15+IF(O53="Yes",10,0),0)</x:f>
        <x:v>15</x:v>
      </x:c>
      <x:c r="T53" s="14" t="str">
        <x:f>IF(S53&gt;=75,"Can Influence Action",IF(S53&gt;=60,"Can Influence Watch",IF(S53&gt;=45,"Research Only","Do Not Use")))</x:f>
        <x:v>Do Not Use</x:v>
      </x:c>
      <x:c r="U53" s="14"/>
      <x:c r="V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 t="n">
        <x:f>ROUND(J54*0.30+(100-K54)*0.15+L54*0.15+M54*0.15+N54*0.15+IF(O54="Yes",10,0),0)</x:f>
        <x:v>15</x:v>
      </x:c>
      <x:c r="T54" s="14" t="str">
        <x:f>IF(S54&gt;=75,"Can Influence Action",IF(S54&gt;=60,"Can Influence Watch",IF(S54&gt;=45,"Research Only","Do Not Use")))</x:f>
        <x:v>Do Not Use</x:v>
      </x:c>
      <x:c r="U54" s="14"/>
      <x:c r="V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 t="n">
        <x:f>ROUND(J55*0.30+(100-K55)*0.15+L55*0.15+M55*0.15+N55*0.15+IF(O55="Yes",10,0),0)</x:f>
        <x:v>15</x:v>
      </x:c>
      <x:c r="T55" s="14" t="str">
        <x:f>IF(S55&gt;=75,"Can Influence Action",IF(S55&gt;=60,"Can Influence Watch",IF(S55&gt;=45,"Research Only","Do Not Use")))</x:f>
        <x:v>Do Not Use</x:v>
      </x:c>
      <x:c r="U55" s="14"/>
      <x:c r="V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 t="n">
        <x:f>ROUND(J56*0.30+(100-K56)*0.15+L56*0.15+M56*0.15+N56*0.15+IF(O56="Yes",10,0),0)</x:f>
        <x:v>15</x:v>
      </x:c>
      <x:c r="T56" s="14" t="str">
        <x:f>IF(S56&gt;=75,"Can Influence Action",IF(S56&gt;=60,"Can Influence Watch",IF(S56&gt;=45,"Research Only","Do Not Use")))</x:f>
        <x:v>Do Not Use</x:v>
      </x:c>
      <x:c r="U56" s="14"/>
      <x:c r="V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 t="n">
        <x:f>ROUND(J57*0.30+(100-K57)*0.15+L57*0.15+M57*0.15+N57*0.15+IF(O57="Yes",10,0),0)</x:f>
        <x:v>15</x:v>
      </x:c>
      <x:c r="T57" s="14" t="str">
        <x:f>IF(S57&gt;=75,"Can Influence Action",IF(S57&gt;=60,"Can Influence Watch",IF(S57&gt;=45,"Research Only","Do Not Use")))</x:f>
        <x:v>Do Not Use</x:v>
      </x:c>
      <x:c r="U57" s="14"/>
      <x:c r="V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 t="n">
        <x:f>ROUND(J58*0.30+(100-K58)*0.15+L58*0.15+M58*0.15+N58*0.15+IF(O58="Yes",10,0),0)</x:f>
        <x:v>15</x:v>
      </x:c>
      <x:c r="T58" s="14" t="str">
        <x:f>IF(S58&gt;=75,"Can Influence Action",IF(S58&gt;=60,"Can Influence Watch",IF(S58&gt;=45,"Research Only","Do Not Use")))</x:f>
        <x:v>Do Not Use</x:v>
      </x:c>
      <x:c r="U58" s="14"/>
      <x:c r="V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 t="n">
        <x:f>ROUND(J59*0.30+(100-K59)*0.15+L59*0.15+M59*0.15+N59*0.15+IF(O59="Yes",10,0),0)</x:f>
        <x:v>15</x:v>
      </x:c>
      <x:c r="T59" s="14" t="str">
        <x:f>IF(S59&gt;=75,"Can Influence Action",IF(S59&gt;=60,"Can Influence Watch",IF(S59&gt;=45,"Research Only","Do Not Use")))</x:f>
        <x:v>Do Not Use</x:v>
      </x:c>
      <x:c r="U59" s="14"/>
      <x:c r="V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 t="n">
        <x:f>ROUND(J60*0.30+(100-K60)*0.15+L60*0.15+M60*0.15+N60*0.15+IF(O60="Yes",10,0),0)</x:f>
        <x:v>15</x:v>
      </x:c>
      <x:c r="T60" s="14" t="str">
        <x:f>IF(S60&gt;=75,"Can Influence Action",IF(S60&gt;=60,"Can Influence Watch",IF(S60&gt;=45,"Research Only","Do Not Use")))</x:f>
        <x:v>Do Not Use</x:v>
      </x:c>
      <x:c r="U60" s="14"/>
      <x:c r="V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 t="n">
        <x:f>ROUND(J61*0.30+(100-K61)*0.15+L61*0.15+M61*0.15+N61*0.15+IF(O61="Yes",10,0),0)</x:f>
        <x:v>15</x:v>
      </x:c>
      <x:c r="T61" s="14" t="str">
        <x:f>IF(S61&gt;=75,"Can Influence Action",IF(S61&gt;=60,"Can Influence Watch",IF(S61&gt;=45,"Research Only","Do Not Use")))</x:f>
        <x:v>Do Not Use</x:v>
      </x:c>
      <x:c r="U61" s="14"/>
      <x:c r="V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 t="n">
        <x:f>ROUND(J62*0.30+(100-K62)*0.15+L62*0.15+M62*0.15+N62*0.15+IF(O62="Yes",10,0),0)</x:f>
        <x:v>15</x:v>
      </x:c>
      <x:c r="T62" s="14" t="str">
        <x:f>IF(S62&gt;=75,"Can Influence Action",IF(S62&gt;=60,"Can Influence Watch",IF(S62&gt;=45,"Research Only","Do Not Use")))</x:f>
        <x:v>Do Not Use</x:v>
      </x:c>
      <x:c r="U62" s="14"/>
      <x:c r="V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 t="n">
        <x:f>ROUND(J63*0.30+(100-K63)*0.15+L63*0.15+M63*0.15+N63*0.15+IF(O63="Yes",10,0),0)</x:f>
        <x:v>15</x:v>
      </x:c>
      <x:c r="T63" s="14" t="str">
        <x:f>IF(S63&gt;=75,"Can Influence Action",IF(S63&gt;=60,"Can Influence Watch",IF(S63&gt;=45,"Research Only","Do Not Use")))</x:f>
        <x:v>Do Not Use</x:v>
      </x:c>
      <x:c r="U63" s="14"/>
      <x:c r="V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 t="n">
        <x:f>ROUND(J64*0.30+(100-K64)*0.15+L64*0.15+M64*0.15+N64*0.15+IF(O64="Yes",10,0),0)</x:f>
        <x:v>15</x:v>
      </x:c>
      <x:c r="T64" s="14" t="str">
        <x:f>IF(S64&gt;=75,"Can Influence Action",IF(S64&gt;=60,"Can Influence Watch",IF(S64&gt;=45,"Research Only","Do Not Use")))</x:f>
        <x:v>Do Not Use</x:v>
      </x:c>
      <x:c r="U64" s="14"/>
      <x:c r="V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 t="n">
        <x:f>ROUND(J65*0.30+(100-K65)*0.15+L65*0.15+M65*0.15+N65*0.15+IF(O65="Yes",10,0),0)</x:f>
        <x:v>15</x:v>
      </x:c>
      <x:c r="T65" s="14" t="str">
        <x:f>IF(S65&gt;=75,"Can Influence Action",IF(S65&gt;=60,"Can Influence Watch",IF(S65&gt;=45,"Research Only","Do Not Use")))</x:f>
        <x:v>Do Not Use</x:v>
      </x:c>
      <x:c r="U65" s="14"/>
      <x:c r="V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 t="n">
        <x:f>ROUND(J66*0.30+(100-K66)*0.15+L66*0.15+M66*0.15+N66*0.15+IF(O66="Yes",10,0),0)</x:f>
        <x:v>15</x:v>
      </x:c>
      <x:c r="T66" s="14" t="str">
        <x:f>IF(S66&gt;=75,"Can Influence Action",IF(S66&gt;=60,"Can Influence Watch",IF(S66&gt;=45,"Research Only","Do Not Use")))</x:f>
        <x:v>Do Not Use</x:v>
      </x:c>
      <x:c r="U66" s="14"/>
      <x:c r="V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 t="n">
        <x:f>ROUND(J67*0.30+(100-K67)*0.15+L67*0.15+M67*0.15+N67*0.15+IF(O67="Yes",10,0),0)</x:f>
        <x:v>15</x:v>
      </x:c>
      <x:c r="T67" s="14" t="str">
        <x:f>IF(S67&gt;=75,"Can Influence Action",IF(S67&gt;=60,"Can Influence Watch",IF(S67&gt;=45,"Research Only","Do Not Use")))</x:f>
        <x:v>Do Not Use</x:v>
      </x:c>
      <x:c r="U67" s="14"/>
      <x:c r="V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 t="n">
        <x:f>ROUND(J68*0.30+(100-K68)*0.15+L68*0.15+M68*0.15+N68*0.15+IF(O68="Yes",10,0),0)</x:f>
        <x:v>15</x:v>
      </x:c>
      <x:c r="T68" s="14" t="str">
        <x:f>IF(S68&gt;=75,"Can Influence Action",IF(S68&gt;=60,"Can Influence Watch",IF(S68&gt;=45,"Research Only","Do Not Use")))</x:f>
        <x:v>Do Not Use</x:v>
      </x:c>
      <x:c r="U68" s="14"/>
      <x:c r="V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 t="n">
        <x:f>ROUND(J69*0.30+(100-K69)*0.15+L69*0.15+M69*0.15+N69*0.15+IF(O69="Yes",10,0),0)</x:f>
        <x:v>15</x:v>
      </x:c>
      <x:c r="T69" s="14" t="str">
        <x:f>IF(S69&gt;=75,"Can Influence Action",IF(S69&gt;=60,"Can Influence Watch",IF(S69&gt;=45,"Research Only","Do Not Use")))</x:f>
        <x:v>Do Not Use</x:v>
      </x:c>
      <x:c r="U69" s="14"/>
      <x:c r="V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 t="n">
        <x:f>ROUND(J70*0.30+(100-K70)*0.15+L70*0.15+M70*0.15+N70*0.15+IF(O70="Yes",10,0),0)</x:f>
        <x:v>15</x:v>
      </x:c>
      <x:c r="T70" s="14" t="str">
        <x:f>IF(S70&gt;=75,"Can Influence Action",IF(S70&gt;=60,"Can Influence Watch",IF(S70&gt;=45,"Research Only","Do Not Use")))</x:f>
        <x:v>Do Not Use</x:v>
      </x:c>
      <x:c r="U70" s="14"/>
      <x:c r="V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 t="n">
        <x:f>ROUND(J71*0.30+(100-K71)*0.15+L71*0.15+M71*0.15+N71*0.15+IF(O71="Yes",10,0),0)</x:f>
        <x:v>15</x:v>
      </x:c>
      <x:c r="T71" s="14" t="str">
        <x:f>IF(S71&gt;=75,"Can Influence Action",IF(S71&gt;=60,"Can Influence Watch",IF(S71&gt;=45,"Research Only","Do Not Use")))</x:f>
        <x:v>Do Not Use</x:v>
      </x:c>
      <x:c r="U71" s="14"/>
      <x:c r="V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 t="n">
        <x:f>ROUND(J72*0.30+(100-K72)*0.15+L72*0.15+M72*0.15+N72*0.15+IF(O72="Yes",10,0),0)</x:f>
        <x:v>15</x:v>
      </x:c>
      <x:c r="T72" s="14" t="str">
        <x:f>IF(S72&gt;=75,"Can Influence Action",IF(S72&gt;=60,"Can Influence Watch",IF(S72&gt;=45,"Research Only","Do Not Use")))</x:f>
        <x:v>Do Not Use</x:v>
      </x:c>
      <x:c r="U72" s="14"/>
      <x:c r="V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 t="n">
        <x:f>ROUND(J73*0.30+(100-K73)*0.15+L73*0.15+M73*0.15+N73*0.15+IF(O73="Yes",10,0),0)</x:f>
        <x:v>15</x:v>
      </x:c>
      <x:c r="T73" s="14" t="str">
        <x:f>IF(S73&gt;=75,"Can Influence Action",IF(S73&gt;=60,"Can Influence Watch",IF(S73&gt;=45,"Research Only","Do Not Use")))</x:f>
        <x:v>Do Not Use</x:v>
      </x:c>
      <x:c r="U73" s="14"/>
      <x:c r="V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 t="n">
        <x:f>ROUND(J74*0.30+(100-K74)*0.15+L74*0.15+M74*0.15+N74*0.15+IF(O74="Yes",10,0),0)</x:f>
        <x:v>15</x:v>
      </x:c>
      <x:c r="T74" s="14" t="str">
        <x:f>IF(S74&gt;=75,"Can Influence Action",IF(S74&gt;=60,"Can Influence Watch",IF(S74&gt;=45,"Research Only","Do Not Use")))</x:f>
        <x:v>Do Not Use</x:v>
      </x:c>
      <x:c r="U74" s="14"/>
      <x:c r="V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 t="n">
        <x:f>ROUND(J75*0.30+(100-K75)*0.15+L75*0.15+M75*0.15+N75*0.15+IF(O75="Yes",10,0),0)</x:f>
        <x:v>15</x:v>
      </x:c>
      <x:c r="T75" s="14" t="str">
        <x:f>IF(S75&gt;=75,"Can Influence Action",IF(S75&gt;=60,"Can Influence Watch",IF(S75&gt;=45,"Research Only","Do Not Use")))</x:f>
        <x:v>Do Not Use</x:v>
      </x:c>
      <x:c r="U75" s="14"/>
      <x:c r="V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 t="n">
        <x:f>ROUND(J76*0.30+(100-K76)*0.15+L76*0.15+M76*0.15+N76*0.15+IF(O76="Yes",10,0),0)</x:f>
        <x:v>15</x:v>
      </x:c>
      <x:c r="T76" s="14" t="str">
        <x:f>IF(S76&gt;=75,"Can Influence Action",IF(S76&gt;=60,"Can Influence Watch",IF(S76&gt;=45,"Research Only","Do Not Use")))</x:f>
        <x:v>Do Not Use</x:v>
      </x:c>
      <x:c r="U76" s="14"/>
      <x:c r="V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 t="n">
        <x:f>ROUND(J77*0.30+(100-K77)*0.15+L77*0.15+M77*0.15+N77*0.15+IF(O77="Yes",10,0),0)</x:f>
        <x:v>15</x:v>
      </x:c>
      <x:c r="T77" s="14" t="str">
        <x:f>IF(S77&gt;=75,"Can Influence Action",IF(S77&gt;=60,"Can Influence Watch",IF(S77&gt;=45,"Research Only","Do Not Use")))</x:f>
        <x:v>Do Not Use</x:v>
      </x:c>
      <x:c r="U77" s="14"/>
      <x:c r="V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 t="n">
        <x:f>ROUND(J78*0.30+(100-K78)*0.15+L78*0.15+M78*0.15+N78*0.15+IF(O78="Yes",10,0),0)</x:f>
        <x:v>15</x:v>
      </x:c>
      <x:c r="T78" s="14" t="str">
        <x:f>IF(S78&gt;=75,"Can Influence Action",IF(S78&gt;=60,"Can Influence Watch",IF(S78&gt;=45,"Research Only","Do Not Use")))</x:f>
        <x:v>Do Not Use</x:v>
      </x:c>
      <x:c r="U78" s="14"/>
      <x:c r="V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 t="n">
        <x:f>ROUND(J79*0.30+(100-K79)*0.15+L79*0.15+M79*0.15+N79*0.15+IF(O79="Yes",10,0),0)</x:f>
        <x:v>15</x:v>
      </x:c>
      <x:c r="T79" s="14" t="str">
        <x:f>IF(S79&gt;=75,"Can Influence Action",IF(S79&gt;=60,"Can Influence Watch",IF(S79&gt;=45,"Research Only","Do Not Use")))</x:f>
        <x:v>Do Not Use</x:v>
      </x:c>
      <x:c r="U79" s="14"/>
      <x:c r="V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 t="n">
        <x:f>ROUND(J80*0.30+(100-K80)*0.15+L80*0.15+M80*0.15+N80*0.15+IF(O80="Yes",10,0),0)</x:f>
        <x:v>15</x:v>
      </x:c>
      <x:c r="T80" s="14" t="str">
        <x:f>IF(S80&gt;=75,"Can Influence Action",IF(S80&gt;=60,"Can Influence Watch",IF(S80&gt;=45,"Research Only","Do Not Use")))</x:f>
        <x:v>Do Not Use</x:v>
      </x:c>
      <x:c r="U80" s="14"/>
      <x:c r="V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 t="n">
        <x:f>ROUND(J81*0.30+(100-K81)*0.15+L81*0.15+M81*0.15+N81*0.15+IF(O81="Yes",10,0),0)</x:f>
        <x:v>15</x:v>
      </x:c>
      <x:c r="T81" s="14" t="str">
        <x:f>IF(S81&gt;=75,"Can Influence Action",IF(S81&gt;=60,"Can Influence Watch",IF(S81&gt;=45,"Research Only","Do Not Use")))</x:f>
        <x:v>Do Not Use</x:v>
      </x:c>
      <x:c r="U81" s="14"/>
      <x:c r="V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 t="n">
        <x:f>ROUND(J82*0.30+(100-K82)*0.15+L82*0.15+M82*0.15+N82*0.15+IF(O82="Yes",10,0),0)</x:f>
        <x:v>15</x:v>
      </x:c>
      <x:c r="T82" s="14" t="str">
        <x:f>IF(S82&gt;=75,"Can Influence Action",IF(S82&gt;=60,"Can Influence Watch",IF(S82&gt;=45,"Research Only","Do Not Use")))</x:f>
        <x:v>Do Not Use</x:v>
      </x:c>
      <x:c r="U82" s="14"/>
      <x:c r="V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 t="n">
        <x:f>ROUND(J83*0.30+(100-K83)*0.15+L83*0.15+M83*0.15+N83*0.15+IF(O83="Yes",10,0),0)</x:f>
        <x:v>15</x:v>
      </x:c>
      <x:c r="T83" s="14" t="str">
        <x:f>IF(S83&gt;=75,"Can Influence Action",IF(S83&gt;=60,"Can Influence Watch",IF(S83&gt;=45,"Research Only","Do Not Use")))</x:f>
        <x:v>Do Not Use</x:v>
      </x:c>
      <x:c r="U83" s="14"/>
      <x:c r="V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 t="n">
        <x:f>ROUND(J84*0.30+(100-K84)*0.15+L84*0.15+M84*0.15+N84*0.15+IF(O84="Yes",10,0),0)</x:f>
        <x:v>15</x:v>
      </x:c>
      <x:c r="T84" s="14" t="str">
        <x:f>IF(S84&gt;=75,"Can Influence Action",IF(S84&gt;=60,"Can Influence Watch",IF(S84&gt;=45,"Research Only","Do Not Use")))</x:f>
        <x:v>Do Not Use</x:v>
      </x:c>
      <x:c r="U84" s="14"/>
      <x:c r="V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 t="n">
        <x:f>ROUND(J85*0.30+(100-K85)*0.15+L85*0.15+M85*0.15+N85*0.15+IF(O85="Yes",10,0),0)</x:f>
        <x:v>15</x:v>
      </x:c>
      <x:c r="T85" s="14" t="str">
        <x:f>IF(S85&gt;=75,"Can Influence Action",IF(S85&gt;=60,"Can Influence Watch",IF(S85&gt;=45,"Research Only","Do Not Use")))</x:f>
        <x:v>Do Not Use</x:v>
      </x:c>
      <x:c r="U85" s="14"/>
      <x:c r="V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 t="n">
        <x:f>ROUND(J86*0.30+(100-K86)*0.15+L86*0.15+M86*0.15+N86*0.15+IF(O86="Yes",10,0),0)</x:f>
        <x:v>15</x:v>
      </x:c>
      <x:c r="T86" s="14" t="str">
        <x:f>IF(S86&gt;=75,"Can Influence Action",IF(S86&gt;=60,"Can Influence Watch",IF(S86&gt;=45,"Research Only","Do Not Use")))</x:f>
        <x:v>Do Not Use</x:v>
      </x:c>
      <x:c r="U86" s="14"/>
      <x:c r="V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 t="n">
        <x:f>ROUND(J87*0.30+(100-K87)*0.15+L87*0.15+M87*0.15+N87*0.15+IF(O87="Yes",10,0),0)</x:f>
        <x:v>15</x:v>
      </x:c>
      <x:c r="T87" s="14" t="str">
        <x:f>IF(S87&gt;=75,"Can Influence Action",IF(S87&gt;=60,"Can Influence Watch",IF(S87&gt;=45,"Research Only","Do Not Use")))</x:f>
        <x:v>Do Not Use</x:v>
      </x:c>
      <x:c r="U87" s="14"/>
      <x:c r="V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 t="n">
        <x:f>ROUND(J88*0.30+(100-K88)*0.15+L88*0.15+M88*0.15+N88*0.15+IF(O88="Yes",10,0),0)</x:f>
        <x:v>15</x:v>
      </x:c>
      <x:c r="T88" s="14" t="str">
        <x:f>IF(S88&gt;=75,"Can Influence Action",IF(S88&gt;=60,"Can Influence Watch",IF(S88&gt;=45,"Research Only","Do Not Use")))</x:f>
        <x:v>Do Not Use</x:v>
      </x:c>
      <x:c r="U88" s="14"/>
      <x:c r="V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 t="n">
        <x:f>ROUND(J89*0.30+(100-K89)*0.15+L89*0.15+M89*0.15+N89*0.15+IF(O89="Yes",10,0),0)</x:f>
        <x:v>15</x:v>
      </x:c>
      <x:c r="T89" s="14" t="str">
        <x:f>IF(S89&gt;=75,"Can Influence Action",IF(S89&gt;=60,"Can Influence Watch",IF(S89&gt;=45,"Research Only","Do Not Use")))</x:f>
        <x:v>Do Not Use</x:v>
      </x:c>
      <x:c r="U89" s="14"/>
      <x:c r="V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 t="n">
        <x:f>ROUND(J90*0.30+(100-K90)*0.15+L90*0.15+M90*0.15+N90*0.15+IF(O90="Yes",10,0),0)</x:f>
        <x:v>15</x:v>
      </x:c>
      <x:c r="T90" s="14" t="str">
        <x:f>IF(S90&gt;=75,"Can Influence Action",IF(S90&gt;=60,"Can Influence Watch",IF(S90&gt;=45,"Research Only","Do Not Use")))</x:f>
        <x:v>Do Not Use</x:v>
      </x:c>
      <x:c r="U90" s="14"/>
      <x:c r="V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 t="n">
        <x:f>ROUND(J91*0.30+(100-K91)*0.15+L91*0.15+M91*0.15+N91*0.15+IF(O91="Yes",10,0),0)</x:f>
        <x:v>15</x:v>
      </x:c>
      <x:c r="T91" s="14" t="str">
        <x:f>IF(S91&gt;=75,"Can Influence Action",IF(S91&gt;=60,"Can Influence Watch",IF(S91&gt;=45,"Research Only","Do Not Use")))</x:f>
        <x:v>Do Not Use</x:v>
      </x:c>
      <x:c r="U91" s="14"/>
      <x:c r="V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 t="n">
        <x:f>ROUND(J92*0.30+(100-K92)*0.15+L92*0.15+M92*0.15+N92*0.15+IF(O92="Yes",10,0),0)</x:f>
        <x:v>15</x:v>
      </x:c>
      <x:c r="T92" s="14" t="str">
        <x:f>IF(S92&gt;=75,"Can Influence Action",IF(S92&gt;=60,"Can Influence Watch",IF(S92&gt;=45,"Research Only","Do Not Use")))</x:f>
        <x:v>Do Not Use</x:v>
      </x:c>
      <x:c r="U92" s="14"/>
      <x:c r="V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 t="n">
        <x:f>ROUND(J93*0.30+(100-K93)*0.15+L93*0.15+M93*0.15+N93*0.15+IF(O93="Yes",10,0),0)</x:f>
        <x:v>15</x:v>
      </x:c>
      <x:c r="T93" s="14" t="str">
        <x:f>IF(S93&gt;=75,"Can Influence Action",IF(S93&gt;=60,"Can Influence Watch",IF(S93&gt;=45,"Research Only","Do Not Use")))</x:f>
        <x:v>Do Not Use</x:v>
      </x:c>
      <x:c r="U93" s="14"/>
      <x:c r="V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 t="n">
        <x:f>ROUND(J94*0.30+(100-K94)*0.15+L94*0.15+M94*0.15+N94*0.15+IF(O94="Yes",10,0),0)</x:f>
        <x:v>15</x:v>
      </x:c>
      <x:c r="T94" s="14" t="str">
        <x:f>IF(S94&gt;=75,"Can Influence Action",IF(S94&gt;=60,"Can Influence Watch",IF(S94&gt;=45,"Research Only","Do Not Use")))</x:f>
        <x:v>Do Not Use</x:v>
      </x:c>
      <x:c r="U94" s="14"/>
      <x:c r="V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 t="n">
        <x:f>ROUND(J95*0.30+(100-K95)*0.15+L95*0.15+M95*0.15+N95*0.15+IF(O95="Yes",10,0),0)</x:f>
        <x:v>15</x:v>
      </x:c>
      <x:c r="T95" s="14" t="str">
        <x:f>IF(S95&gt;=75,"Can Influence Action",IF(S95&gt;=60,"Can Influence Watch",IF(S95&gt;=45,"Research Only","Do Not Use")))</x:f>
        <x:v>Do Not Use</x:v>
      </x:c>
      <x:c r="U95" s="14"/>
      <x:c r="V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 t="n">
        <x:f>ROUND(J96*0.30+(100-K96)*0.15+L96*0.15+M96*0.15+N96*0.15+IF(O96="Yes",10,0),0)</x:f>
        <x:v>15</x:v>
      </x:c>
      <x:c r="T96" s="14" t="str">
        <x:f>IF(S96&gt;=75,"Can Influence Action",IF(S96&gt;=60,"Can Influence Watch",IF(S96&gt;=45,"Research Only","Do Not Use")))</x:f>
        <x:v>Do Not Use</x:v>
      </x:c>
      <x:c r="U96" s="14"/>
      <x:c r="V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 t="n">
        <x:f>ROUND(J97*0.30+(100-K97)*0.15+L97*0.15+M97*0.15+N97*0.15+IF(O97="Yes",10,0),0)</x:f>
        <x:v>15</x:v>
      </x:c>
      <x:c r="T97" s="14" t="str">
        <x:f>IF(S97&gt;=75,"Can Influence Action",IF(S97&gt;=60,"Can Influence Watch",IF(S97&gt;=45,"Research Only","Do Not Use")))</x:f>
        <x:v>Do Not Use</x:v>
      </x:c>
      <x:c r="U97" s="14"/>
      <x:c r="V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 t="n">
        <x:f>ROUND(J98*0.30+(100-K98)*0.15+L98*0.15+M98*0.15+N98*0.15+IF(O98="Yes",10,0),0)</x:f>
        <x:v>15</x:v>
      </x:c>
      <x:c r="T98" s="14" t="str">
        <x:f>IF(S98&gt;=75,"Can Influence Action",IF(S98&gt;=60,"Can Influence Watch",IF(S98&gt;=45,"Research Only","Do Not Use")))</x:f>
        <x:v>Do Not Use</x:v>
      </x:c>
      <x:c r="U98" s="14"/>
      <x:c r="V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 t="n">
        <x:f>ROUND(J99*0.30+(100-K99)*0.15+L99*0.15+M99*0.15+N99*0.15+IF(O99="Yes",10,0),0)</x:f>
        <x:v>15</x:v>
      </x:c>
      <x:c r="T99" s="14" t="str">
        <x:f>IF(S99&gt;=75,"Can Influence Action",IF(S99&gt;=60,"Can Influence Watch",IF(S99&gt;=45,"Research Only","Do Not Use")))</x:f>
        <x:v>Do Not Use</x:v>
      </x:c>
      <x:c r="U99" s="14"/>
      <x:c r="V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 t="n">
        <x:f>ROUND(J100*0.30+(100-K100)*0.15+L100*0.15+M100*0.15+N100*0.15+IF(O100="Yes",10,0),0)</x:f>
        <x:v>15</x:v>
      </x:c>
      <x:c r="T100" s="14" t="str">
        <x:f>IF(S100&gt;=75,"Can Influence Action",IF(S100&gt;=60,"Can Influence Watch",IF(S100&gt;=45,"Research Only","Do Not Use")))</x:f>
        <x:v>Do Not Use</x:v>
      </x:c>
      <x:c r="U100" s="14"/>
      <x:c r="V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 t="n">
        <x:f>ROUND(J101*0.30+(100-K101)*0.15+L101*0.15+M101*0.15+N101*0.15+IF(O101="Yes",10,0),0)</x:f>
        <x:v>15</x:v>
      </x:c>
      <x:c r="T101" s="14" t="str">
        <x:f>IF(S101&gt;=75,"Can Influence Action",IF(S101&gt;=60,"Can Influence Watch",IF(S101&gt;=45,"Research Only","Do Not Use")))</x:f>
        <x:v>Do Not Use</x:v>
      </x:c>
      <x:c r="U101" s="14"/>
      <x:c r="V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 t="n">
        <x:f>ROUND(J102*0.30+(100-K102)*0.15+L102*0.15+M102*0.15+N102*0.15+IF(O102="Yes",10,0),0)</x:f>
        <x:v>15</x:v>
      </x:c>
      <x:c r="T102" s="14" t="str">
        <x:f>IF(S102&gt;=75,"Can Influence Action",IF(S102&gt;=60,"Can Influence Watch",IF(S102&gt;=45,"Research Only","Do Not Use")))</x:f>
        <x:v>Do Not Use</x:v>
      </x:c>
      <x:c r="U102" s="14"/>
      <x:c r="V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 t="n">
        <x:f>ROUND(J103*0.30+(100-K103)*0.15+L103*0.15+M103*0.15+N103*0.15+IF(O103="Yes",10,0),0)</x:f>
        <x:v>15</x:v>
      </x:c>
      <x:c r="T103" s="14" t="str">
        <x:f>IF(S103&gt;=75,"Can Influence Action",IF(S103&gt;=60,"Can Influence Watch",IF(S103&gt;=45,"Research Only","Do Not Use")))</x:f>
        <x:v>Do Not Use</x:v>
      </x:c>
      <x:c r="U103" s="14"/>
      <x:c r="V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 t="n">
        <x:f>ROUND(J104*0.30+(100-K104)*0.15+L104*0.15+M104*0.15+N104*0.15+IF(O104="Yes",10,0),0)</x:f>
        <x:v>15</x:v>
      </x:c>
      <x:c r="T104" s="14" t="str">
        <x:f>IF(S104&gt;=75,"Can Influence Action",IF(S104&gt;=60,"Can Influence Watch",IF(S104&gt;=45,"Research Only","Do Not Use")))</x:f>
        <x:v>Do Not Use</x:v>
      </x:c>
      <x:c r="U104" s="14"/>
      <x:c r="V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 t="n">
        <x:f>ROUND(J105*0.30+(100-K105)*0.15+L105*0.15+M105*0.15+N105*0.15+IF(O105="Yes",10,0),0)</x:f>
        <x:v>15</x:v>
      </x:c>
      <x:c r="T105" s="14" t="str">
        <x:f>IF(S105&gt;=75,"Can Influence Action",IF(S105&gt;=60,"Can Influence Watch",IF(S105&gt;=45,"Research Only","Do Not Use")))</x:f>
        <x:v>Do Not Use</x:v>
      </x:c>
      <x:c r="U105" s="14"/>
      <x:c r="V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 t="n">
        <x:f>ROUND(J106*0.30+(100-K106)*0.15+L106*0.15+M106*0.15+N106*0.15+IF(O106="Yes",10,0),0)</x:f>
        <x:v>15</x:v>
      </x:c>
      <x:c r="T106" s="14" t="str">
        <x:f>IF(S106&gt;=75,"Can Influence Action",IF(S106&gt;=60,"Can Influence Watch",IF(S106&gt;=45,"Research Only","Do Not Use")))</x:f>
        <x:v>Do Not Use</x:v>
      </x:c>
      <x:c r="U106" s="14"/>
      <x:c r="V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 t="n">
        <x:f>ROUND(J107*0.30+(100-K107)*0.15+L107*0.15+M107*0.15+N107*0.15+IF(O107="Yes",10,0),0)</x:f>
        <x:v>15</x:v>
      </x:c>
      <x:c r="T107" s="14" t="str">
        <x:f>IF(S107&gt;=75,"Can Influence Action",IF(S107&gt;=60,"Can Influence Watch",IF(S107&gt;=45,"Research Only","Do Not Use")))</x:f>
        <x:v>Do Not Use</x:v>
      </x:c>
      <x:c r="U107" s="14"/>
      <x:c r="V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 t="n">
        <x:f>ROUND(J108*0.30+(100-K108)*0.15+L108*0.15+M108*0.15+N108*0.15+IF(O108="Yes",10,0),0)</x:f>
        <x:v>15</x:v>
      </x:c>
      <x:c r="T108" s="14" t="str">
        <x:f>IF(S108&gt;=75,"Can Influence Action",IF(S108&gt;=60,"Can Influence Watch",IF(S108&gt;=45,"Research Only","Do Not Use")))</x:f>
        <x:v>Do Not Use</x:v>
      </x:c>
      <x:c r="U108" s="14"/>
      <x:c r="V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 t="n">
        <x:f>ROUND(J109*0.30+(100-K109)*0.15+L109*0.15+M109*0.15+N109*0.15+IF(O109="Yes",10,0),0)</x:f>
        <x:v>15</x:v>
      </x:c>
      <x:c r="T109" s="14" t="str">
        <x:f>IF(S109&gt;=75,"Can Influence Action",IF(S109&gt;=60,"Can Influence Watch",IF(S109&gt;=45,"Research Only","Do Not Use")))</x:f>
        <x:v>Do Not Use</x:v>
      </x:c>
      <x:c r="U109" s="14"/>
      <x:c r="V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 t="n">
        <x:f>ROUND(J110*0.30+(100-K110)*0.15+L110*0.15+M110*0.15+N110*0.15+IF(O110="Yes",10,0),0)</x:f>
        <x:v>15</x:v>
      </x:c>
      <x:c r="T110" s="14" t="str">
        <x:f>IF(S110&gt;=75,"Can Influence Action",IF(S110&gt;=60,"Can Influence Watch",IF(S110&gt;=45,"Research Only","Do Not Use")))</x:f>
        <x:v>Do Not Use</x:v>
      </x:c>
      <x:c r="U110" s="14"/>
      <x:c r="V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 t="n">
        <x:f>ROUND(J111*0.30+(100-K111)*0.15+L111*0.15+M111*0.15+N111*0.15+IF(O111="Yes",10,0),0)</x:f>
        <x:v>15</x:v>
      </x:c>
      <x:c r="T111" s="14" t="str">
        <x:f>IF(S111&gt;=75,"Can Influence Action",IF(S111&gt;=60,"Can Influence Watch",IF(S111&gt;=45,"Research Only","Do Not Use")))</x:f>
        <x:v>Do Not Use</x:v>
      </x:c>
      <x:c r="U111" s="14"/>
      <x:c r="V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 t="n">
        <x:f>ROUND(J112*0.30+(100-K112)*0.15+L112*0.15+M112*0.15+N112*0.15+IF(O112="Yes",10,0),0)</x:f>
        <x:v>15</x:v>
      </x:c>
      <x:c r="T112" s="14" t="str">
        <x:f>IF(S112&gt;=75,"Can Influence Action",IF(S112&gt;=60,"Can Influence Watch",IF(S112&gt;=45,"Research Only","Do Not Use")))</x:f>
        <x:v>Do Not Use</x:v>
      </x:c>
      <x:c r="U112" s="14"/>
      <x:c r="V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 t="n">
        <x:f>ROUND(J113*0.30+(100-K113)*0.15+L113*0.15+M113*0.15+N113*0.15+IF(O113="Yes",10,0),0)</x:f>
        <x:v>15</x:v>
      </x:c>
      <x:c r="T113" s="14" t="str">
        <x:f>IF(S113&gt;=75,"Can Influence Action",IF(S113&gt;=60,"Can Influence Watch",IF(S113&gt;=45,"Research Only","Do Not Use")))</x:f>
        <x:v>Do Not Use</x:v>
      </x:c>
      <x:c r="U113" s="14"/>
      <x:c r="V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 t="n">
        <x:f>ROUND(J114*0.30+(100-K114)*0.15+L114*0.15+M114*0.15+N114*0.15+IF(O114="Yes",10,0),0)</x:f>
        <x:v>15</x:v>
      </x:c>
      <x:c r="T114" s="14" t="str">
        <x:f>IF(S114&gt;=75,"Can Influence Action",IF(S114&gt;=60,"Can Influence Watch",IF(S114&gt;=45,"Research Only","Do Not Use")))</x:f>
        <x:v>Do Not Use</x:v>
      </x:c>
      <x:c r="U114" s="14"/>
      <x:c r="V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 t="n">
        <x:f>ROUND(J115*0.30+(100-K115)*0.15+L115*0.15+M115*0.15+N115*0.15+IF(O115="Yes",10,0),0)</x:f>
        <x:v>15</x:v>
      </x:c>
      <x:c r="T115" s="14" t="str">
        <x:f>IF(S115&gt;=75,"Can Influence Action",IF(S115&gt;=60,"Can Influence Watch",IF(S115&gt;=45,"Research Only","Do Not Use")))</x:f>
        <x:v>Do Not Use</x:v>
      </x:c>
      <x:c r="U115" s="14"/>
      <x:c r="V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 t="n">
        <x:f>ROUND(J116*0.30+(100-K116)*0.15+L116*0.15+M116*0.15+N116*0.15+IF(O116="Yes",10,0),0)</x:f>
        <x:v>15</x:v>
      </x:c>
      <x:c r="T116" s="14" t="str">
        <x:f>IF(S116&gt;=75,"Can Influence Action",IF(S116&gt;=60,"Can Influence Watch",IF(S116&gt;=45,"Research Only","Do Not Use")))</x:f>
        <x:v>Do Not Use</x:v>
      </x:c>
      <x:c r="U116" s="14"/>
      <x:c r="V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 t="n">
        <x:f>ROUND(J117*0.30+(100-K117)*0.15+L117*0.15+M117*0.15+N117*0.15+IF(O117="Yes",10,0),0)</x:f>
        <x:v>15</x:v>
      </x:c>
      <x:c r="T117" s="14" t="str">
        <x:f>IF(S117&gt;=75,"Can Influence Action",IF(S117&gt;=60,"Can Influence Watch",IF(S117&gt;=45,"Research Only","Do Not Use")))</x:f>
        <x:v>Do Not Use</x:v>
      </x:c>
      <x:c r="U117" s="14"/>
      <x:c r="V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 t="n">
        <x:f>ROUND(J118*0.30+(100-K118)*0.15+L118*0.15+M118*0.15+N118*0.15+IF(O118="Yes",10,0),0)</x:f>
        <x:v>15</x:v>
      </x:c>
      <x:c r="T118" s="14" t="str">
        <x:f>IF(S118&gt;=75,"Can Influence Action",IF(S118&gt;=60,"Can Influence Watch",IF(S118&gt;=45,"Research Only","Do Not Use")))</x:f>
        <x:v>Do Not Use</x:v>
      </x:c>
      <x:c r="U118" s="14"/>
      <x:c r="V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 t="n">
        <x:f>ROUND(J119*0.30+(100-K119)*0.15+L119*0.15+M119*0.15+N119*0.15+IF(O119="Yes",10,0),0)</x:f>
        <x:v>15</x:v>
      </x:c>
      <x:c r="T119" s="14" t="str">
        <x:f>IF(S119&gt;=75,"Can Influence Action",IF(S119&gt;=60,"Can Influence Watch",IF(S119&gt;=45,"Research Only","Do Not Use")))</x:f>
        <x:v>Do Not Use</x:v>
      </x:c>
      <x:c r="U119" s="14"/>
      <x:c r="V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 t="n">
        <x:f>ROUND(J120*0.30+(100-K120)*0.15+L120*0.15+M120*0.15+N120*0.15+IF(O120="Yes",10,0),0)</x:f>
        <x:v>15</x:v>
      </x:c>
      <x:c r="T120" s="14" t="str">
        <x:f>IF(S120&gt;=75,"Can Influence Action",IF(S120&gt;=60,"Can Influence Watch",IF(S120&gt;=45,"Research Only","Do Not Use")))</x:f>
        <x:v>Do Not Use</x:v>
      </x:c>
      <x:c r="U120" s="14"/>
      <x:c r="V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 t="n">
        <x:f>ROUND(J121*0.30+(100-K121)*0.15+L121*0.15+M121*0.15+N121*0.15+IF(O121="Yes",10,0),0)</x:f>
        <x:v>15</x:v>
      </x:c>
      <x:c r="T121" s="14" t="str">
        <x:f>IF(S121&gt;=75,"Can Influence Action",IF(S121&gt;=60,"Can Influence Watch",IF(S121&gt;=45,"Research Only","Do Not Use")))</x:f>
        <x:v>Do Not Use</x:v>
      </x:c>
      <x:c r="U121" s="14"/>
      <x:c r="V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 t="n">
        <x:f>ROUND(J122*0.30+(100-K122)*0.15+L122*0.15+M122*0.15+N122*0.15+IF(O122="Yes",10,0),0)</x:f>
        <x:v>15</x:v>
      </x:c>
      <x:c r="T122" s="14" t="str">
        <x:f>IF(S122&gt;=75,"Can Influence Action",IF(S122&gt;=60,"Can Influence Watch",IF(S122&gt;=45,"Research Only","Do Not Use")))</x:f>
        <x:v>Do Not Use</x:v>
      </x:c>
      <x:c r="U122" s="14"/>
      <x:c r="V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 t="n">
        <x:f>ROUND(J123*0.30+(100-K123)*0.15+L123*0.15+M123*0.15+N123*0.15+IF(O123="Yes",10,0),0)</x:f>
        <x:v>15</x:v>
      </x:c>
      <x:c r="T123" s="14" t="str">
        <x:f>IF(S123&gt;=75,"Can Influence Action",IF(S123&gt;=60,"Can Influence Watch",IF(S123&gt;=45,"Research Only","Do Not Use")))</x:f>
        <x:v>Do Not Use</x:v>
      </x:c>
      <x:c r="U123" s="14"/>
      <x:c r="V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 t="n">
        <x:f>ROUND(J124*0.30+(100-K124)*0.15+L124*0.15+M124*0.15+N124*0.15+IF(O124="Yes",10,0),0)</x:f>
        <x:v>15</x:v>
      </x:c>
      <x:c r="T124" s="14" t="str">
        <x:f>IF(S124&gt;=75,"Can Influence Action",IF(S124&gt;=60,"Can Influence Watch",IF(S124&gt;=45,"Research Only","Do Not Use")))</x:f>
        <x:v>Do Not Use</x:v>
      </x:c>
      <x:c r="U124" s="14"/>
      <x:c r="V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 t="n">
        <x:f>ROUND(J125*0.30+(100-K125)*0.15+L125*0.15+M125*0.15+N125*0.15+IF(O125="Yes",10,0),0)</x:f>
        <x:v>15</x:v>
      </x:c>
      <x:c r="T125" s="14" t="str">
        <x:f>IF(S125&gt;=75,"Can Influence Action",IF(S125&gt;=60,"Can Influence Watch",IF(S125&gt;=45,"Research Only","Do Not Use")))</x:f>
        <x:v>Do Not Use</x:v>
      </x:c>
      <x:c r="U125" s="14"/>
      <x:c r="V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 t="n">
        <x:f>ROUND(J126*0.30+(100-K126)*0.15+L126*0.15+M126*0.15+N126*0.15+IF(O126="Yes",10,0),0)</x:f>
        <x:v>15</x:v>
      </x:c>
      <x:c r="T126" s="14" t="str">
        <x:f>IF(S126&gt;=75,"Can Influence Action",IF(S126&gt;=60,"Can Influence Watch",IF(S126&gt;=45,"Research Only","Do Not Use")))</x:f>
        <x:v>Do Not Use</x:v>
      </x:c>
      <x:c r="U126" s="14"/>
      <x:c r="V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 t="n">
        <x:f>ROUND(J127*0.30+(100-K127)*0.15+L127*0.15+M127*0.15+N127*0.15+IF(O127="Yes",10,0),0)</x:f>
        <x:v>15</x:v>
      </x:c>
      <x:c r="T127" s="14" t="str">
        <x:f>IF(S127&gt;=75,"Can Influence Action",IF(S127&gt;=60,"Can Influence Watch",IF(S127&gt;=45,"Research Only","Do Not Use")))</x:f>
        <x:v>Do Not Use</x:v>
      </x:c>
      <x:c r="U127" s="14"/>
      <x:c r="V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 t="n">
        <x:f>ROUND(J128*0.30+(100-K128)*0.15+L128*0.15+M128*0.15+N128*0.15+IF(O128="Yes",10,0),0)</x:f>
        <x:v>15</x:v>
      </x:c>
      <x:c r="T128" s="14" t="str">
        <x:f>IF(S128&gt;=75,"Can Influence Action",IF(S128&gt;=60,"Can Influence Watch",IF(S128&gt;=45,"Research Only","Do Not Use")))</x:f>
        <x:v>Do Not Use</x:v>
      </x:c>
      <x:c r="U128" s="14"/>
      <x:c r="V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 t="n">
        <x:f>ROUND(J129*0.30+(100-K129)*0.15+L129*0.15+M129*0.15+N129*0.15+IF(O129="Yes",10,0),0)</x:f>
        <x:v>15</x:v>
      </x:c>
      <x:c r="T129" s="14" t="str">
        <x:f>IF(S129&gt;=75,"Can Influence Action",IF(S129&gt;=60,"Can Influence Watch",IF(S129&gt;=45,"Research Only","Do Not Use")))</x:f>
        <x:v>Do Not Use</x:v>
      </x:c>
      <x:c r="U129" s="14"/>
      <x:c r="V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 t="n">
        <x:f>ROUND(J130*0.30+(100-K130)*0.15+L130*0.15+M130*0.15+N130*0.15+IF(O130="Yes",10,0),0)</x:f>
        <x:v>15</x:v>
      </x:c>
      <x:c r="T130" s="14" t="str">
        <x:f>IF(S130&gt;=75,"Can Influence Action",IF(S130&gt;=60,"Can Influence Watch",IF(S130&gt;=45,"Research Only","Do Not Use")))</x:f>
        <x:v>Do Not Use</x:v>
      </x:c>
      <x:c r="U130" s="14"/>
      <x:c r="V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 t="n">
        <x:f>ROUND(J131*0.30+(100-K131)*0.15+L131*0.15+M131*0.15+N131*0.15+IF(O131="Yes",10,0),0)</x:f>
        <x:v>15</x:v>
      </x:c>
      <x:c r="T131" s="14" t="str">
        <x:f>IF(S131&gt;=75,"Can Influence Action",IF(S131&gt;=60,"Can Influence Watch",IF(S131&gt;=45,"Research Only","Do Not Use")))</x:f>
        <x:v>Do Not Use</x:v>
      </x:c>
      <x:c r="U131" s="14"/>
      <x:c r="V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 t="n">
        <x:f>ROUND(J132*0.30+(100-K132)*0.15+L132*0.15+M132*0.15+N132*0.15+IF(O132="Yes",10,0),0)</x:f>
        <x:v>15</x:v>
      </x:c>
      <x:c r="T132" s="14" t="str">
        <x:f>IF(S132&gt;=75,"Can Influence Action",IF(S132&gt;=60,"Can Influence Watch",IF(S132&gt;=45,"Research Only","Do Not Use")))</x:f>
        <x:v>Do Not Use</x:v>
      </x:c>
      <x:c r="U132" s="14"/>
      <x:c r="V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 t="n">
        <x:f>ROUND(J133*0.30+(100-K133)*0.15+L133*0.15+M133*0.15+N133*0.15+IF(O133="Yes",10,0),0)</x:f>
        <x:v>15</x:v>
      </x:c>
      <x:c r="T133" s="14" t="str">
        <x:f>IF(S133&gt;=75,"Can Influence Action",IF(S133&gt;=60,"Can Influence Watch",IF(S133&gt;=45,"Research Only","Do Not Use")))</x:f>
        <x:v>Do Not Use</x:v>
      </x:c>
      <x:c r="U133" s="14"/>
      <x:c r="V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 t="n">
        <x:f>ROUND(J134*0.30+(100-K134)*0.15+L134*0.15+M134*0.15+N134*0.15+IF(O134="Yes",10,0),0)</x:f>
        <x:v>15</x:v>
      </x:c>
      <x:c r="T134" s="14" t="str">
        <x:f>IF(S134&gt;=75,"Can Influence Action",IF(S134&gt;=60,"Can Influence Watch",IF(S134&gt;=45,"Research Only","Do Not Use")))</x:f>
        <x:v>Do Not Use</x:v>
      </x:c>
      <x:c r="U134" s="14"/>
      <x:c r="V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 t="n">
        <x:f>ROUND(J135*0.30+(100-K135)*0.15+L135*0.15+M135*0.15+N135*0.15+IF(O135="Yes",10,0),0)</x:f>
        <x:v>15</x:v>
      </x:c>
      <x:c r="T135" s="14" t="str">
        <x:f>IF(S135&gt;=75,"Can Influence Action",IF(S135&gt;=60,"Can Influence Watch",IF(S135&gt;=45,"Research Only","Do Not Use")))</x:f>
        <x:v>Do Not Use</x:v>
      </x:c>
      <x:c r="U135" s="14"/>
      <x:c r="V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 t="n">
        <x:f>ROUND(J136*0.30+(100-K136)*0.15+L136*0.15+M136*0.15+N136*0.15+IF(O136="Yes",10,0),0)</x:f>
        <x:v>15</x:v>
      </x:c>
      <x:c r="T136" s="14" t="str">
        <x:f>IF(S136&gt;=75,"Can Influence Action",IF(S136&gt;=60,"Can Influence Watch",IF(S136&gt;=45,"Research Only","Do Not Use")))</x:f>
        <x:v>Do Not Use</x:v>
      </x:c>
      <x:c r="U136" s="14"/>
      <x:c r="V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 t="n">
        <x:f>ROUND(J137*0.30+(100-K137)*0.15+L137*0.15+M137*0.15+N137*0.15+IF(O137="Yes",10,0),0)</x:f>
        <x:v>15</x:v>
      </x:c>
      <x:c r="T137" s="14" t="str">
        <x:f>IF(S137&gt;=75,"Can Influence Action",IF(S137&gt;=60,"Can Influence Watch",IF(S137&gt;=45,"Research Only","Do Not Use")))</x:f>
        <x:v>Do Not Use</x:v>
      </x:c>
      <x:c r="U137" s="14"/>
      <x:c r="V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 t="n">
        <x:f>ROUND(J138*0.30+(100-K138)*0.15+L138*0.15+M138*0.15+N138*0.15+IF(O138="Yes",10,0),0)</x:f>
        <x:v>15</x:v>
      </x:c>
      <x:c r="T138" s="14" t="str">
        <x:f>IF(S138&gt;=75,"Can Influence Action",IF(S138&gt;=60,"Can Influence Watch",IF(S138&gt;=45,"Research Only","Do Not Use")))</x:f>
        <x:v>Do Not Use</x:v>
      </x:c>
      <x:c r="U138" s="14"/>
      <x:c r="V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 t="n">
        <x:f>ROUND(J139*0.30+(100-K139)*0.15+L139*0.15+M139*0.15+N139*0.15+IF(O139="Yes",10,0),0)</x:f>
        <x:v>15</x:v>
      </x:c>
      <x:c r="T139" s="14" t="str">
        <x:f>IF(S139&gt;=75,"Can Influence Action",IF(S139&gt;=60,"Can Influence Watch",IF(S139&gt;=45,"Research Only","Do Not Use")))</x:f>
        <x:v>Do Not Use</x:v>
      </x:c>
      <x:c r="U139" s="14"/>
      <x:c r="V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 t="n">
        <x:f>ROUND(J140*0.30+(100-K140)*0.15+L140*0.15+M140*0.15+N140*0.15+IF(O140="Yes",10,0),0)</x:f>
        <x:v>15</x:v>
      </x:c>
      <x:c r="T140" s="14" t="str">
        <x:f>IF(S140&gt;=75,"Can Influence Action",IF(S140&gt;=60,"Can Influence Watch",IF(S140&gt;=45,"Research Only","Do Not Use")))</x:f>
        <x:v>Do Not Use</x:v>
      </x:c>
      <x:c r="U140" s="14"/>
      <x:c r="V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 t="n">
        <x:f>ROUND(J141*0.30+(100-K141)*0.15+L141*0.15+M141*0.15+N141*0.15+IF(O141="Yes",10,0),0)</x:f>
        <x:v>15</x:v>
      </x:c>
      <x:c r="T141" s="14" t="str">
        <x:f>IF(S141&gt;=75,"Can Influence Action",IF(S141&gt;=60,"Can Influence Watch",IF(S141&gt;=45,"Research Only","Do Not Use")))</x:f>
        <x:v>Do Not Use</x:v>
      </x:c>
      <x:c r="U141" s="14"/>
      <x:c r="V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 t="n">
        <x:f>ROUND(J142*0.30+(100-K142)*0.15+L142*0.15+M142*0.15+N142*0.15+IF(O142="Yes",10,0),0)</x:f>
        <x:v>15</x:v>
      </x:c>
      <x:c r="T142" s="14" t="str">
        <x:f>IF(S142&gt;=75,"Can Influence Action",IF(S142&gt;=60,"Can Influence Watch",IF(S142&gt;=45,"Research Only","Do Not Use")))</x:f>
        <x:v>Do Not Use</x:v>
      </x:c>
      <x:c r="U142" s="14"/>
      <x:c r="V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 t="n">
        <x:f>ROUND(J143*0.30+(100-K143)*0.15+L143*0.15+M143*0.15+N143*0.15+IF(O143="Yes",10,0),0)</x:f>
        <x:v>15</x:v>
      </x:c>
      <x:c r="T143" s="14" t="str">
        <x:f>IF(S143&gt;=75,"Can Influence Action",IF(S143&gt;=60,"Can Influence Watch",IF(S143&gt;=45,"Research Only","Do Not Use")))</x:f>
        <x:v>Do Not Use</x:v>
      </x:c>
      <x:c r="U143" s="14"/>
      <x:c r="V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 t="n">
        <x:f>ROUND(J144*0.30+(100-K144)*0.15+L144*0.15+M144*0.15+N144*0.15+IF(O144="Yes",10,0),0)</x:f>
        <x:v>15</x:v>
      </x:c>
      <x:c r="T144" s="14" t="str">
        <x:f>IF(S144&gt;=75,"Can Influence Action",IF(S144&gt;=60,"Can Influence Watch",IF(S144&gt;=45,"Research Only","Do Not Use")))</x:f>
        <x:v>Do Not Use</x:v>
      </x:c>
      <x:c r="U144" s="14"/>
      <x:c r="V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 t="n">
        <x:f>ROUND(J145*0.30+(100-K145)*0.15+L145*0.15+M145*0.15+N145*0.15+IF(O145="Yes",10,0),0)</x:f>
        <x:v>15</x:v>
      </x:c>
      <x:c r="T145" s="14" t="str">
        <x:f>IF(S145&gt;=75,"Can Influence Action",IF(S145&gt;=60,"Can Influence Watch",IF(S145&gt;=45,"Research Only","Do Not Use")))</x:f>
        <x:v>Do Not Use</x:v>
      </x:c>
      <x:c r="U145" s="14"/>
      <x:c r="V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 t="n">
        <x:f>ROUND(J146*0.30+(100-K146)*0.15+L146*0.15+M146*0.15+N146*0.15+IF(O146="Yes",10,0),0)</x:f>
        <x:v>15</x:v>
      </x:c>
      <x:c r="T146" s="14" t="str">
        <x:f>IF(S146&gt;=75,"Can Influence Action",IF(S146&gt;=60,"Can Influence Watch",IF(S146&gt;=45,"Research Only","Do Not Use")))</x:f>
        <x:v>Do Not Use</x:v>
      </x:c>
      <x:c r="U146" s="14"/>
      <x:c r="V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 t="n">
        <x:f>ROUND(J147*0.30+(100-K147)*0.15+L147*0.15+M147*0.15+N147*0.15+IF(O147="Yes",10,0),0)</x:f>
        <x:v>15</x:v>
      </x:c>
      <x:c r="T147" s="14" t="str">
        <x:f>IF(S147&gt;=75,"Can Influence Action",IF(S147&gt;=60,"Can Influence Watch",IF(S147&gt;=45,"Research Only","Do Not Use")))</x:f>
        <x:v>Do Not Use</x:v>
      </x:c>
      <x:c r="U147" s="14"/>
      <x:c r="V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 t="n">
        <x:f>ROUND(J148*0.30+(100-K148)*0.15+L148*0.15+M148*0.15+N148*0.15+IF(O148="Yes",10,0),0)</x:f>
        <x:v>15</x:v>
      </x:c>
      <x:c r="T148" s="14" t="str">
        <x:f>IF(S148&gt;=75,"Can Influence Action",IF(S148&gt;=60,"Can Influence Watch",IF(S148&gt;=45,"Research Only","Do Not Use")))</x:f>
        <x:v>Do Not Use</x:v>
      </x:c>
      <x:c r="U148" s="14"/>
      <x:c r="V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 t="n">
        <x:f>ROUND(J149*0.30+(100-K149)*0.15+L149*0.15+M149*0.15+N149*0.15+IF(O149="Yes",10,0),0)</x:f>
        <x:v>15</x:v>
      </x:c>
      <x:c r="T149" s="14" t="str">
        <x:f>IF(S149&gt;=75,"Can Influence Action",IF(S149&gt;=60,"Can Influence Watch",IF(S149&gt;=45,"Research Only","Do Not Use")))</x:f>
        <x:v>Do Not Use</x:v>
      </x:c>
      <x:c r="U149" s="14"/>
      <x:c r="V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 t="n">
        <x:f>ROUND(J150*0.30+(100-K150)*0.15+L150*0.15+M150*0.15+N150*0.15+IF(O150="Yes",10,0),0)</x:f>
        <x:v>15</x:v>
      </x:c>
      <x:c r="T150" s="14" t="str">
        <x:f>IF(S150&gt;=75,"Can Influence Action",IF(S150&gt;=60,"Can Influence Watch",IF(S150&gt;=45,"Research Only","Do Not Use")))</x:f>
        <x:v>Do Not Use</x:v>
      </x:c>
      <x:c r="U150" s="14"/>
      <x:c r="V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 t="n">
        <x:f>ROUND(J151*0.30+(100-K151)*0.15+L151*0.15+M151*0.15+N151*0.15+IF(O151="Yes",10,0),0)</x:f>
        <x:v>15</x:v>
      </x:c>
      <x:c r="T151" s="14" t="str">
        <x:f>IF(S151&gt;=75,"Can Influence Action",IF(S151&gt;=60,"Can Influence Watch",IF(S151&gt;=45,"Research Only","Do Not Use")))</x:f>
        <x:v>Do Not Use</x:v>
      </x:c>
      <x:c r="U151" s="14"/>
      <x:c r="V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 t="n">
        <x:f>ROUND(J152*0.30+(100-K152)*0.15+L152*0.15+M152*0.15+N152*0.15+IF(O152="Yes",10,0),0)</x:f>
        <x:v>15</x:v>
      </x:c>
      <x:c r="T152" s="14" t="str">
        <x:f>IF(S152&gt;=75,"Can Influence Action",IF(S152&gt;=60,"Can Influence Watch",IF(S152&gt;=45,"Research Only","Do Not Use")))</x:f>
        <x:v>Do Not Use</x:v>
      </x:c>
      <x:c r="U152" s="14"/>
      <x:c r="V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 t="n">
        <x:f>ROUND(J153*0.30+(100-K153)*0.15+L153*0.15+M153*0.15+N153*0.15+IF(O153="Yes",10,0),0)</x:f>
        <x:v>15</x:v>
      </x:c>
      <x:c r="T153" s="14" t="str">
        <x:f>IF(S153&gt;=75,"Can Influence Action",IF(S153&gt;=60,"Can Influence Watch",IF(S153&gt;=45,"Research Only","Do Not Use")))</x:f>
        <x:v>Do Not Use</x:v>
      </x:c>
      <x:c r="U153" s="14"/>
      <x:c r="V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 t="n">
        <x:f>ROUND(J154*0.30+(100-K154)*0.15+L154*0.15+M154*0.15+N154*0.15+IF(O154="Yes",10,0),0)</x:f>
        <x:v>15</x:v>
      </x:c>
      <x:c r="T154" s="14" t="str">
        <x:f>IF(S154&gt;=75,"Can Influence Action",IF(S154&gt;=60,"Can Influence Watch",IF(S154&gt;=45,"Research Only","Do Not Use")))</x:f>
        <x:v>Do Not Use</x:v>
      </x:c>
      <x:c r="U154" s="14"/>
      <x:c r="V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 t="n">
        <x:f>ROUND(J155*0.30+(100-K155)*0.15+L155*0.15+M155*0.15+N155*0.15+IF(O155="Yes",10,0),0)</x:f>
        <x:v>15</x:v>
      </x:c>
      <x:c r="T155" s="14" t="str">
        <x:f>IF(S155&gt;=75,"Can Influence Action",IF(S155&gt;=60,"Can Influence Watch",IF(S155&gt;=45,"Research Only","Do Not Use")))</x:f>
        <x:v>Do Not Use</x:v>
      </x:c>
      <x:c r="U155" s="14"/>
      <x:c r="V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 t="n">
        <x:f>ROUND(J156*0.30+(100-K156)*0.15+L156*0.15+M156*0.15+N156*0.15+IF(O156="Yes",10,0),0)</x:f>
        <x:v>15</x:v>
      </x:c>
      <x:c r="T156" s="14" t="str">
        <x:f>IF(S156&gt;=75,"Can Influence Action",IF(S156&gt;=60,"Can Influence Watch",IF(S156&gt;=45,"Research Only","Do Not Use")))</x:f>
        <x:v>Do Not Use</x:v>
      </x:c>
      <x:c r="U156" s="14"/>
      <x:c r="V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 t="n">
        <x:f>ROUND(J157*0.30+(100-K157)*0.15+L157*0.15+M157*0.15+N157*0.15+IF(O157="Yes",10,0),0)</x:f>
        <x:v>15</x:v>
      </x:c>
      <x:c r="T157" s="14" t="str">
        <x:f>IF(S157&gt;=75,"Can Influence Action",IF(S157&gt;=60,"Can Influence Watch",IF(S157&gt;=45,"Research Only","Do Not Use")))</x:f>
        <x:v>Do Not Use</x:v>
      </x:c>
      <x:c r="U157" s="14"/>
      <x:c r="V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 t="n">
        <x:f>ROUND(J158*0.30+(100-K158)*0.15+L158*0.15+M158*0.15+N158*0.15+IF(O158="Yes",10,0),0)</x:f>
        <x:v>15</x:v>
      </x:c>
      <x:c r="T158" s="14" t="str">
        <x:f>IF(S158&gt;=75,"Can Influence Action",IF(S158&gt;=60,"Can Influence Watch",IF(S158&gt;=45,"Research Only","Do Not Use")))</x:f>
        <x:v>Do Not Use</x:v>
      </x:c>
      <x:c r="U158" s="14"/>
      <x:c r="V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 t="n">
        <x:f>ROUND(J159*0.30+(100-K159)*0.15+L159*0.15+M159*0.15+N159*0.15+IF(O159="Yes",10,0),0)</x:f>
        <x:v>15</x:v>
      </x:c>
      <x:c r="T159" s="14" t="str">
        <x:f>IF(S159&gt;=75,"Can Influence Action",IF(S159&gt;=60,"Can Influence Watch",IF(S159&gt;=45,"Research Only","Do Not Use")))</x:f>
        <x:v>Do Not Use</x:v>
      </x:c>
      <x:c r="U159" s="14"/>
      <x:c r="V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 t="n">
        <x:f>ROUND(J160*0.30+(100-K160)*0.15+L160*0.15+M160*0.15+N160*0.15+IF(O160="Yes",10,0),0)</x:f>
        <x:v>15</x:v>
      </x:c>
      <x:c r="T160" s="14" t="str">
        <x:f>IF(S160&gt;=75,"Can Influence Action",IF(S160&gt;=60,"Can Influence Watch",IF(S160&gt;=45,"Research Only","Do Not Use")))</x:f>
        <x:v>Do Not Use</x:v>
      </x:c>
      <x:c r="U160" s="14"/>
      <x:c r="V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 t="n">
        <x:f>ROUND(J161*0.30+(100-K161)*0.15+L161*0.15+M161*0.15+N161*0.15+IF(O161="Yes",10,0),0)</x:f>
        <x:v>15</x:v>
      </x:c>
      <x:c r="T161" s="14" t="str">
        <x:f>IF(S161&gt;=75,"Can Influence Action",IF(S161&gt;=60,"Can Influence Watch",IF(S161&gt;=45,"Research Only","Do Not Use")))</x:f>
        <x:v>Do Not Use</x:v>
      </x:c>
      <x:c r="U161" s="14"/>
      <x:c r="V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 t="n">
        <x:f>ROUND(J162*0.30+(100-K162)*0.15+L162*0.15+M162*0.15+N162*0.15+IF(O162="Yes",10,0),0)</x:f>
        <x:v>15</x:v>
      </x:c>
      <x:c r="T162" s="14" t="str">
        <x:f>IF(S162&gt;=75,"Can Influence Action",IF(S162&gt;=60,"Can Influence Watch",IF(S162&gt;=45,"Research Only","Do Not Use")))</x:f>
        <x:v>Do Not Use</x:v>
      </x:c>
      <x:c r="U162" s="14"/>
      <x:c r="V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 t="n">
        <x:f>ROUND(J163*0.30+(100-K163)*0.15+L163*0.15+M163*0.15+N163*0.15+IF(O163="Yes",10,0),0)</x:f>
        <x:v>15</x:v>
      </x:c>
      <x:c r="T163" s="14" t="str">
        <x:f>IF(S163&gt;=75,"Can Influence Action",IF(S163&gt;=60,"Can Influence Watch",IF(S163&gt;=45,"Research Only","Do Not Use")))</x:f>
        <x:v>Do Not Use</x:v>
      </x:c>
      <x:c r="U163" s="14"/>
      <x:c r="V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 t="n">
        <x:f>ROUND(J164*0.30+(100-K164)*0.15+L164*0.15+M164*0.15+N164*0.15+IF(O164="Yes",10,0),0)</x:f>
        <x:v>15</x:v>
      </x:c>
      <x:c r="T164" s="14" t="str">
        <x:f>IF(S164&gt;=75,"Can Influence Action",IF(S164&gt;=60,"Can Influence Watch",IF(S164&gt;=45,"Research Only","Do Not Use")))</x:f>
        <x:v>Do Not Use</x:v>
      </x:c>
      <x:c r="U164" s="14"/>
      <x:c r="V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 t="n">
        <x:f>ROUND(J165*0.30+(100-K165)*0.15+L165*0.15+M165*0.15+N165*0.15+IF(O165="Yes",10,0),0)</x:f>
        <x:v>15</x:v>
      </x:c>
      <x:c r="T165" s="14" t="str">
        <x:f>IF(S165&gt;=75,"Can Influence Action",IF(S165&gt;=60,"Can Influence Watch",IF(S165&gt;=45,"Research Only","Do Not Use")))</x:f>
        <x:v>Do Not Use</x:v>
      </x:c>
      <x:c r="U165" s="14"/>
      <x:c r="V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 t="n">
        <x:f>ROUND(J166*0.30+(100-K166)*0.15+L166*0.15+M166*0.15+N166*0.15+IF(O166="Yes",10,0),0)</x:f>
        <x:v>15</x:v>
      </x:c>
      <x:c r="T166" s="14" t="str">
        <x:f>IF(S166&gt;=75,"Can Influence Action",IF(S166&gt;=60,"Can Influence Watch",IF(S166&gt;=45,"Research Only","Do Not Use")))</x:f>
        <x:v>Do Not Use</x:v>
      </x:c>
      <x:c r="U166" s="14"/>
      <x:c r="V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 t="n">
        <x:f>ROUND(J167*0.30+(100-K167)*0.15+L167*0.15+M167*0.15+N167*0.15+IF(O167="Yes",10,0),0)</x:f>
        <x:v>15</x:v>
      </x:c>
      <x:c r="T167" s="14" t="str">
        <x:f>IF(S167&gt;=75,"Can Influence Action",IF(S167&gt;=60,"Can Influence Watch",IF(S167&gt;=45,"Research Only","Do Not Use")))</x:f>
        <x:v>Do Not Use</x:v>
      </x:c>
      <x:c r="U167" s="14"/>
      <x:c r="V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 t="n">
        <x:f>ROUND(J168*0.30+(100-K168)*0.15+L168*0.15+M168*0.15+N168*0.15+IF(O168="Yes",10,0),0)</x:f>
        <x:v>15</x:v>
      </x:c>
      <x:c r="T168" s="14" t="str">
        <x:f>IF(S168&gt;=75,"Can Influence Action",IF(S168&gt;=60,"Can Influence Watch",IF(S168&gt;=45,"Research Only","Do Not Use")))</x:f>
        <x:v>Do Not Use</x:v>
      </x:c>
      <x:c r="U168" s="14"/>
      <x:c r="V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 t="n">
        <x:f>ROUND(J169*0.30+(100-K169)*0.15+L169*0.15+M169*0.15+N169*0.15+IF(O169="Yes",10,0),0)</x:f>
        <x:v>15</x:v>
      </x:c>
      <x:c r="T169" s="14" t="str">
        <x:f>IF(S169&gt;=75,"Can Influence Action",IF(S169&gt;=60,"Can Influence Watch",IF(S169&gt;=45,"Research Only","Do Not Use")))</x:f>
        <x:v>Do Not Use</x:v>
      </x:c>
      <x:c r="U169" s="14"/>
      <x:c r="V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 t="n">
        <x:f>ROUND(J170*0.30+(100-K170)*0.15+L170*0.15+M170*0.15+N170*0.15+IF(O170="Yes",10,0),0)</x:f>
        <x:v>15</x:v>
      </x:c>
      <x:c r="T170" s="14" t="str">
        <x:f>IF(S170&gt;=75,"Can Influence Action",IF(S170&gt;=60,"Can Influence Watch",IF(S170&gt;=45,"Research Only","Do Not Use")))</x:f>
        <x:v>Do Not Use</x:v>
      </x:c>
      <x:c r="U170" s="14"/>
      <x:c r="V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 t="n">
        <x:f>ROUND(J171*0.30+(100-K171)*0.15+L171*0.15+M171*0.15+N171*0.15+IF(O171="Yes",10,0),0)</x:f>
        <x:v>15</x:v>
      </x:c>
      <x:c r="T171" s="14" t="str">
        <x:f>IF(S171&gt;=75,"Can Influence Action",IF(S171&gt;=60,"Can Influence Watch",IF(S171&gt;=45,"Research Only","Do Not Use")))</x:f>
        <x:v>Do Not Use</x:v>
      </x:c>
      <x:c r="U171" s="14"/>
      <x:c r="V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 t="n">
        <x:f>ROUND(J172*0.30+(100-K172)*0.15+L172*0.15+M172*0.15+N172*0.15+IF(O172="Yes",10,0),0)</x:f>
        <x:v>15</x:v>
      </x:c>
      <x:c r="T172" s="14" t="str">
        <x:f>IF(S172&gt;=75,"Can Influence Action",IF(S172&gt;=60,"Can Influence Watch",IF(S172&gt;=45,"Research Only","Do Not Use")))</x:f>
        <x:v>Do Not Use</x:v>
      </x:c>
      <x:c r="U172" s="14"/>
      <x:c r="V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 t="n">
        <x:f>ROUND(J173*0.30+(100-K173)*0.15+L173*0.15+M173*0.15+N173*0.15+IF(O173="Yes",10,0),0)</x:f>
        <x:v>15</x:v>
      </x:c>
      <x:c r="T173" s="14" t="str">
        <x:f>IF(S173&gt;=75,"Can Influence Action",IF(S173&gt;=60,"Can Influence Watch",IF(S173&gt;=45,"Research Only","Do Not Use")))</x:f>
        <x:v>Do Not Use</x:v>
      </x:c>
      <x:c r="U173" s="14"/>
      <x:c r="V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 t="n">
        <x:f>ROUND(J174*0.30+(100-K174)*0.15+L174*0.15+M174*0.15+N174*0.15+IF(O174="Yes",10,0),0)</x:f>
        <x:v>15</x:v>
      </x:c>
      <x:c r="T174" s="14" t="str">
        <x:f>IF(S174&gt;=75,"Can Influence Action",IF(S174&gt;=60,"Can Influence Watch",IF(S174&gt;=45,"Research Only","Do Not Use")))</x:f>
        <x:v>Do Not Use</x:v>
      </x:c>
      <x:c r="U174" s="14"/>
      <x:c r="V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 t="n">
        <x:f>ROUND(J175*0.30+(100-K175)*0.15+L175*0.15+M175*0.15+N175*0.15+IF(O175="Yes",10,0),0)</x:f>
        <x:v>15</x:v>
      </x:c>
      <x:c r="T175" s="14" t="str">
        <x:f>IF(S175&gt;=75,"Can Influence Action",IF(S175&gt;=60,"Can Influence Watch",IF(S175&gt;=45,"Research Only","Do Not Use")))</x:f>
        <x:v>Do Not Use</x:v>
      </x:c>
      <x:c r="U175" s="14"/>
      <x:c r="V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 t="n">
        <x:f>ROUND(J176*0.30+(100-K176)*0.15+L176*0.15+M176*0.15+N176*0.15+IF(O176="Yes",10,0),0)</x:f>
        <x:v>15</x:v>
      </x:c>
      <x:c r="T176" s="14" t="str">
        <x:f>IF(S176&gt;=75,"Can Influence Action",IF(S176&gt;=60,"Can Influence Watch",IF(S176&gt;=45,"Research Only","Do Not Use")))</x:f>
        <x:v>Do Not Use</x:v>
      </x:c>
      <x:c r="U176" s="14"/>
      <x:c r="V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 t="n">
        <x:f>ROUND(J177*0.30+(100-K177)*0.15+L177*0.15+M177*0.15+N177*0.15+IF(O177="Yes",10,0),0)</x:f>
        <x:v>15</x:v>
      </x:c>
      <x:c r="T177" s="14" t="str">
        <x:f>IF(S177&gt;=75,"Can Influence Action",IF(S177&gt;=60,"Can Influence Watch",IF(S177&gt;=45,"Research Only","Do Not Use")))</x:f>
        <x:v>Do Not Use</x:v>
      </x:c>
      <x:c r="U177" s="14"/>
      <x:c r="V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 t="n">
        <x:f>ROUND(J178*0.30+(100-K178)*0.15+L178*0.15+M178*0.15+N178*0.15+IF(O178="Yes",10,0),0)</x:f>
        <x:v>15</x:v>
      </x:c>
      <x:c r="T178" s="14" t="str">
        <x:f>IF(S178&gt;=75,"Can Influence Action",IF(S178&gt;=60,"Can Influence Watch",IF(S178&gt;=45,"Research Only","Do Not Use")))</x:f>
        <x:v>Do Not Use</x:v>
      </x:c>
      <x:c r="U178" s="14"/>
      <x:c r="V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 t="n">
        <x:f>ROUND(J179*0.30+(100-K179)*0.15+L179*0.15+M179*0.15+N179*0.15+IF(O179="Yes",10,0),0)</x:f>
        <x:v>15</x:v>
      </x:c>
      <x:c r="T179" s="14" t="str">
        <x:f>IF(S179&gt;=75,"Can Influence Action",IF(S179&gt;=60,"Can Influence Watch",IF(S179&gt;=45,"Research Only","Do Not Use")))</x:f>
        <x:v>Do Not Use</x:v>
      </x:c>
      <x:c r="U179" s="14"/>
      <x:c r="V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 t="n">
        <x:f>ROUND(J180*0.30+(100-K180)*0.15+L180*0.15+M180*0.15+N180*0.15+IF(O180="Yes",10,0),0)</x:f>
        <x:v>15</x:v>
      </x:c>
      <x:c r="T180" s="14" t="str">
        <x:f>IF(S180&gt;=75,"Can Influence Action",IF(S180&gt;=60,"Can Influence Watch",IF(S180&gt;=45,"Research Only","Do Not Use")))</x:f>
        <x:v>Do Not Use</x:v>
      </x:c>
      <x:c r="U180" s="14"/>
      <x:c r="V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 t="n">
        <x:f>ROUND(J181*0.30+(100-K181)*0.15+L181*0.15+M181*0.15+N181*0.15+IF(O181="Yes",10,0),0)</x:f>
        <x:v>15</x:v>
      </x:c>
      <x:c r="T181" s="14" t="str">
        <x:f>IF(S181&gt;=75,"Can Influence Action",IF(S181&gt;=60,"Can Influence Watch",IF(S181&gt;=45,"Research Only","Do Not Use")))</x:f>
        <x:v>Do Not Use</x:v>
      </x:c>
      <x:c r="U181" s="14"/>
      <x:c r="V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 t="n">
        <x:f>ROUND(J182*0.30+(100-K182)*0.15+L182*0.15+M182*0.15+N182*0.15+IF(O182="Yes",10,0),0)</x:f>
        <x:v>15</x:v>
      </x:c>
      <x:c r="T182" s="14" t="str">
        <x:f>IF(S182&gt;=75,"Can Influence Action",IF(S182&gt;=60,"Can Influence Watch",IF(S182&gt;=45,"Research Only","Do Not Use")))</x:f>
        <x:v>Do Not Use</x:v>
      </x:c>
      <x:c r="U182" s="14"/>
      <x:c r="V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 t="n">
        <x:f>ROUND(J183*0.30+(100-K183)*0.15+L183*0.15+M183*0.15+N183*0.15+IF(O183="Yes",10,0),0)</x:f>
        <x:v>15</x:v>
      </x:c>
      <x:c r="T183" s="14" t="str">
        <x:f>IF(S183&gt;=75,"Can Influence Action",IF(S183&gt;=60,"Can Influence Watch",IF(S183&gt;=45,"Research Only","Do Not Use")))</x:f>
        <x:v>Do Not Use</x:v>
      </x:c>
      <x:c r="U183" s="14"/>
      <x:c r="V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 t="n">
        <x:f>ROUND(J184*0.30+(100-K184)*0.15+L184*0.15+M184*0.15+N184*0.15+IF(O184="Yes",10,0),0)</x:f>
        <x:v>15</x:v>
      </x:c>
      <x:c r="T184" s="14" t="str">
        <x:f>IF(S184&gt;=75,"Can Influence Action",IF(S184&gt;=60,"Can Influence Watch",IF(S184&gt;=45,"Research Only","Do Not Use")))</x:f>
        <x:v>Do Not Use</x:v>
      </x:c>
      <x:c r="U184" s="14"/>
      <x:c r="V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 t="n">
        <x:f>ROUND(J185*0.30+(100-K185)*0.15+L185*0.15+M185*0.15+N185*0.15+IF(O185="Yes",10,0),0)</x:f>
        <x:v>15</x:v>
      </x:c>
      <x:c r="T185" s="14" t="str">
        <x:f>IF(S185&gt;=75,"Can Influence Action",IF(S185&gt;=60,"Can Influence Watch",IF(S185&gt;=45,"Research Only","Do Not Use")))</x:f>
        <x:v>Do Not Use</x:v>
      </x:c>
      <x:c r="U185" s="14"/>
      <x:c r="V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 t="n">
        <x:f>ROUND(J186*0.30+(100-K186)*0.15+L186*0.15+M186*0.15+N186*0.15+IF(O186="Yes",10,0),0)</x:f>
        <x:v>15</x:v>
      </x:c>
      <x:c r="T186" s="14" t="str">
        <x:f>IF(S186&gt;=75,"Can Influence Action",IF(S186&gt;=60,"Can Influence Watch",IF(S186&gt;=45,"Research Only","Do Not Use")))</x:f>
        <x:v>Do Not Use</x:v>
      </x:c>
      <x:c r="U186" s="14"/>
      <x:c r="V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 t="n">
        <x:f>ROUND(J187*0.30+(100-K187)*0.15+L187*0.15+M187*0.15+N187*0.15+IF(O187="Yes",10,0),0)</x:f>
        <x:v>15</x:v>
      </x:c>
      <x:c r="T187" s="14" t="str">
        <x:f>IF(S187&gt;=75,"Can Influence Action",IF(S187&gt;=60,"Can Influence Watch",IF(S187&gt;=45,"Research Only","Do Not Use")))</x:f>
        <x:v>Do Not Use</x:v>
      </x:c>
      <x:c r="U187" s="14"/>
      <x:c r="V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 t="n">
        <x:f>ROUND(J188*0.30+(100-K188)*0.15+L188*0.15+M188*0.15+N188*0.15+IF(O188="Yes",10,0),0)</x:f>
        <x:v>15</x:v>
      </x:c>
      <x:c r="T188" s="14" t="str">
        <x:f>IF(S188&gt;=75,"Can Influence Action",IF(S188&gt;=60,"Can Influence Watch",IF(S188&gt;=45,"Research Only","Do Not Use")))</x:f>
        <x:v>Do Not Use</x:v>
      </x:c>
      <x:c r="U188" s="14"/>
      <x:c r="V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 t="n">
        <x:f>ROUND(J189*0.30+(100-K189)*0.15+L189*0.15+M189*0.15+N189*0.15+IF(O189="Yes",10,0),0)</x:f>
        <x:v>15</x:v>
      </x:c>
      <x:c r="T189" s="14" t="str">
        <x:f>IF(S189&gt;=75,"Can Influence Action",IF(S189&gt;=60,"Can Influence Watch",IF(S189&gt;=45,"Research Only","Do Not Use")))</x:f>
        <x:v>Do Not Use</x:v>
      </x:c>
      <x:c r="U189" s="14"/>
      <x:c r="V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 t="n">
        <x:f>ROUND(J190*0.30+(100-K190)*0.15+L190*0.15+M190*0.15+N190*0.15+IF(O190="Yes",10,0),0)</x:f>
        <x:v>15</x:v>
      </x:c>
      <x:c r="T190" s="14" t="str">
        <x:f>IF(S190&gt;=75,"Can Influence Action",IF(S190&gt;=60,"Can Influence Watch",IF(S190&gt;=45,"Research Only","Do Not Use")))</x:f>
        <x:v>Do Not Use</x:v>
      </x:c>
      <x:c r="U190" s="14"/>
      <x:c r="V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 t="n">
        <x:f>ROUND(J191*0.30+(100-K191)*0.15+L191*0.15+M191*0.15+N191*0.15+IF(O191="Yes",10,0),0)</x:f>
        <x:v>15</x:v>
      </x:c>
      <x:c r="T191" s="14" t="str">
        <x:f>IF(S191&gt;=75,"Can Influence Action",IF(S191&gt;=60,"Can Influence Watch",IF(S191&gt;=45,"Research Only","Do Not Use")))</x:f>
        <x:v>Do Not Use</x:v>
      </x:c>
      <x:c r="U191" s="14"/>
      <x:c r="V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 t="n">
        <x:f>ROUND(J192*0.30+(100-K192)*0.15+L192*0.15+M192*0.15+N192*0.15+IF(O192="Yes",10,0),0)</x:f>
        <x:v>15</x:v>
      </x:c>
      <x:c r="T192" s="14" t="str">
        <x:f>IF(S192&gt;=75,"Can Influence Action",IF(S192&gt;=60,"Can Influence Watch",IF(S192&gt;=45,"Research Only","Do Not Use")))</x:f>
        <x:v>Do Not Use</x:v>
      </x:c>
      <x:c r="U192" s="14"/>
      <x:c r="V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 t="n">
        <x:f>ROUND(J193*0.30+(100-K193)*0.15+L193*0.15+M193*0.15+N193*0.15+IF(O193="Yes",10,0),0)</x:f>
        <x:v>15</x:v>
      </x:c>
      <x:c r="T193" s="14" t="str">
        <x:f>IF(S193&gt;=75,"Can Influence Action",IF(S193&gt;=60,"Can Influence Watch",IF(S193&gt;=45,"Research Only","Do Not Use")))</x:f>
        <x:v>Do Not Use</x:v>
      </x:c>
      <x:c r="U193" s="14"/>
      <x:c r="V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 t="n">
        <x:f>ROUND(J194*0.30+(100-K194)*0.15+L194*0.15+M194*0.15+N194*0.15+IF(O194="Yes",10,0),0)</x:f>
        <x:v>15</x:v>
      </x:c>
      <x:c r="T194" s="14" t="str">
        <x:f>IF(S194&gt;=75,"Can Influence Action",IF(S194&gt;=60,"Can Influence Watch",IF(S194&gt;=45,"Research Only","Do Not Use")))</x:f>
        <x:v>Do Not Use</x:v>
      </x:c>
      <x:c r="U194" s="14"/>
      <x:c r="V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 t="n">
        <x:f>ROUND(J195*0.30+(100-K195)*0.15+L195*0.15+M195*0.15+N195*0.15+IF(O195="Yes",10,0),0)</x:f>
        <x:v>15</x:v>
      </x:c>
      <x:c r="T195" s="14" t="str">
        <x:f>IF(S195&gt;=75,"Can Influence Action",IF(S195&gt;=60,"Can Influence Watch",IF(S195&gt;=45,"Research Only","Do Not Use")))</x:f>
        <x:v>Do Not Use</x:v>
      </x:c>
      <x:c r="U195" s="14"/>
      <x:c r="V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 t="n">
        <x:f>ROUND(J196*0.30+(100-K196)*0.15+L196*0.15+M196*0.15+N196*0.15+IF(O196="Yes",10,0),0)</x:f>
        <x:v>15</x:v>
      </x:c>
      <x:c r="T196" s="14" t="str">
        <x:f>IF(S196&gt;=75,"Can Influence Action",IF(S196&gt;=60,"Can Influence Watch",IF(S196&gt;=45,"Research Only","Do Not Use")))</x:f>
        <x:v>Do Not Use</x:v>
      </x:c>
      <x:c r="U196" s="14"/>
      <x:c r="V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 t="n">
        <x:f>ROUND(J197*0.30+(100-K197)*0.15+L197*0.15+M197*0.15+N197*0.15+IF(O197="Yes",10,0),0)</x:f>
        <x:v>15</x:v>
      </x:c>
      <x:c r="T197" s="14" t="str">
        <x:f>IF(S197&gt;=75,"Can Influence Action",IF(S197&gt;=60,"Can Influence Watch",IF(S197&gt;=45,"Research Only","Do Not Use")))</x:f>
        <x:v>Do Not Use</x:v>
      </x:c>
      <x:c r="U197" s="14"/>
      <x:c r="V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 t="n">
        <x:f>ROUND(J198*0.30+(100-K198)*0.15+L198*0.15+M198*0.15+N198*0.15+IF(O198="Yes",10,0),0)</x:f>
        <x:v>15</x:v>
      </x:c>
      <x:c r="T198" s="14" t="str">
        <x:f>IF(S198&gt;=75,"Can Influence Action",IF(S198&gt;=60,"Can Influence Watch",IF(S198&gt;=45,"Research Only","Do Not Use")))</x:f>
        <x:v>Do Not Use</x:v>
      </x:c>
      <x:c r="U198" s="14"/>
      <x:c r="V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 t="n">
        <x:f>ROUND(J199*0.30+(100-K199)*0.15+L199*0.15+M199*0.15+N199*0.15+IF(O199="Yes",10,0),0)</x:f>
        <x:v>15</x:v>
      </x:c>
      <x:c r="T199" s="14" t="str">
        <x:f>IF(S199&gt;=75,"Can Influence Action",IF(S199&gt;=60,"Can Influence Watch",IF(S199&gt;=45,"Research Only","Do Not Use")))</x:f>
        <x:v>Do Not Use</x:v>
      </x:c>
      <x:c r="U199" s="14"/>
      <x:c r="V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 t="n">
        <x:f>ROUND(J200*0.30+(100-K200)*0.15+L200*0.15+M200*0.15+N200*0.15+IF(O200="Yes",10,0),0)</x:f>
        <x:v>15</x:v>
      </x:c>
      <x:c r="T200" s="14" t="str">
        <x:f>IF(S200&gt;=75,"Can Influence Action",IF(S200&gt;=60,"Can Influence Watch",IF(S200&gt;=45,"Research Only","Do Not Use")))</x:f>
        <x:v>Do Not Use</x:v>
      </x:c>
      <x:c r="U200" s="14"/>
      <x:c r="V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 t="n">
        <x:f>ROUND(J201*0.30+(100-K201)*0.15+L201*0.15+M201*0.15+N201*0.15+IF(O201="Yes",10,0),0)</x:f>
        <x:v>15</x:v>
      </x:c>
      <x:c r="T201" s="14" t="str">
        <x:f>IF(S201&gt;=75,"Can Influence Action",IF(S201&gt;=60,"Can Influence Watch",IF(S201&gt;=45,"Research Only","Do Not Use")))</x:f>
        <x:v>Do Not Use</x:v>
      </x:c>
      <x:c r="U201" s="14"/>
      <x:c r="V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</x:row>
  </x:sheetData>
  <x:conditionalFormatting sqref="S2:S2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dataValidations count="4">
    <x:dataValidation type="list" sqref="D2:D200">
      <x:formula1>"Official Filing,Company IR,Earnings Call,Market Data,Sell-side,YouTube,X/Twitter,Book,Framework,User Observation,News,Other"</x:formula1>
    </x:dataValidation>
    <x:dataValidation type="list" sqref="G2:G200">
      <x:formula1>"Fact,Interpretation,Forecast,Framework,Anecdote,Rumor"</x:formula1>
    </x:dataValidation>
    <x:dataValidation type="list" sqref="O2:O200">
      <x:formula1>"Yes,No"</x:formula1>
    </x:dataValidation>
    <x:dataValidation type="list" sqref="U2:U2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2a69bf62c749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4" hidden="0" customWidth="1"/>
    <x:col min="9" max="9" width="34" hidden="0" customWidth="1"/>
    <x:col min="10" max="10" width="34" hidden="0" customWidth="1"/>
  </x:cols>
  <x:sheetData>
    <x:row r="1">
      <x:c r="A1" s="9" t="str">
        <x:v>Ticker</x:v>
      </x:c>
      <x:c r="B1" s="9" t="str">
        <x:v>Status</x:v>
      </x:c>
      <x:c r="C1" s="9" t="str">
        <x:v>Engine File</x:v>
      </x:c>
      <x:c r="D1" s="9" t="str">
        <x:v>Unified Score</x:v>
      </x:c>
      <x:c r="E1" s="9" t="str">
        <x:v>Gann Price Score</x:v>
      </x:c>
      <x:c r="F1" s="9" t="str">
        <x:v>Gann Time Score</x:v>
      </x:c>
      <x:c r="G1" s="9" t="str">
        <x:v>Resonance State</x:v>
      </x:c>
      <x:c r="H1" s="9" t="str">
        <x:v>Hard Missing Data</x:v>
      </x:c>
      <x:c r="I1" s="9" t="str">
        <x:v>Anchor Verification Link</x:v>
      </x:c>
      <x:c r="J1" s="9" t="str">
        <x:v>Page Link</x:v>
      </x:c>
    </x:row>
    <x:row r="2">
      <x:c r="A2" t="str">
        <x:v>CRDO</x:v>
      </x:c>
      <x:c r="B2" t="str">
        <x:v>Gann Live</x:v>
      </x:c>
      <x:c r="C2" t="str">
        <x:v>amos_unified_gann_resonance_engine_v0_4.json</x:v>
      </x:c>
      <x:c r="D2" t="n">
        <x:v>32</x:v>
      </x:c>
      <x:c r="E2" t="n">
        <x:v>62</x:v>
      </x:c>
      <x:c r="F2" t="n">
        <x:v>-7</x:v>
      </x:c>
      <x:c r="G2" t="str">
        <x:v>no_actionable_resonance</x:v>
      </x:c>
      <x:c r="H2" t="str">
        <x:v>AVWAP not connected; RSI not connected; Gamma/options not connected; Live price not connected</x:v>
      </x:c>
      <x:c r="I2" t="str">
        <x:v>amos_gann_anchor_verification_checklist_v0_2.xlsx</x:v>
      </x:c>
      <x:c r="J2" t="str">
        <x:v>crdo_stock_page_gann_registry_v0_6.html</x:v>
      </x:c>
    </x:row>
    <x:row r="3">
      <x:c r="A3" t="str">
        <x:v>NVDA</x:v>
      </x:c>
      <x:c r="B3" t="str">
        <x:v>Gann Live</x:v>
      </x:c>
      <x:c r="C3" t="str">
        <x:v>amos_nvda_gann_engine_v0_1.json</x:v>
      </x:c>
      <x:c r="D3" t="n">
        <x:v>53</x:v>
      </x:c>
      <x:c r="E3" t="n">
        <x:v>65</x:v>
      </x:c>
      <x:c r="F3" t="n">
        <x:v>64</x:v>
      </x:c>
      <x:c r="G3" t="str">
        <x:v>incomplete_resonance</x:v>
      </x:c>
      <x:c r="H3" t="str">
        <x:v>Live price not connected; Verified anchors not confirmed; AVWAP not connected; RSI not connected; Gamma/options not connected</x:v>
      </x:c>
      <x:c r="I3" t="str">
        <x:v>amos_gann_anchor_verification_checklist_v0_2.xlsx</x:v>
      </x:c>
      <x:c r="J3" t="str">
        <x:v>nvda_stock_page_gann_registry_v0_6.html</x:v>
      </x:c>
    </x:row>
    <x:row r="4">
      <x:c r="A4" t="str">
        <x:v>LITE</x:v>
      </x:c>
      <x:c r="B4" t="str">
        <x:v>Gann Live</x:v>
      </x:c>
      <x:c r="C4" t="str">
        <x:v>amos_lite_gann_engine_v0_1.json</x:v>
      </x:c>
      <x:c r="D4" t="n">
        <x:v>33</x:v>
      </x:c>
      <x:c r="E4" t="n">
        <x:v>30</x:v>
      </x:c>
      <x:c r="F4" t="n">
        <x:v>33</x:v>
      </x:c>
      <x:c r="G4" t="str">
        <x:v>no_actionable_resonance</x:v>
      </x:c>
      <x:c r="H4" t="str">
        <x:v>Live price not connected; Verified anchors not confirmed; AVWAP not connected; RSI not connected; Gamma/options not connected</x:v>
      </x:c>
      <x:c r="I4" t="str">
        <x:v>amos_gann_anchor_verification_checklist_v0_2.xlsx</x:v>
      </x:c>
      <x:c r="J4" t="str">
        <x:v>lite_stock_page_gann_registry_v0_6.html</x:v>
      </x:c>
    </x:row>
    <x:row r="5">
      <x:c r="A5" t="str">
        <x:v>IREN</x:v>
      </x:c>
      <x:c r="B5" t="str">
        <x:v>Gann Live</x:v>
      </x:c>
      <x:c r="C5" t="str">
        <x:v>amos_iren_gann_engine_v0_1.json</x:v>
      </x:c>
      <x:c r="D5" t="n">
        <x:v>37</x:v>
      </x:c>
      <x:c r="E5" t="n">
        <x:v>22</x:v>
      </x:c>
      <x:c r="F5" t="n">
        <x:v>62</x:v>
      </x:c>
      <x:c r="G5" t="str">
        <x:v>no_actionable_resonance</x:v>
      </x:c>
      <x:c r="H5" t="str">
        <x:v>Live price not connected; Verified anchors not confirmed; AVWAP not connected; RSI not connected; Gamma/options not connected; BTC/miner correlation data not connected</x:v>
      </x:c>
      <x:c r="I5" t="str">
        <x:v>amos_gann_anchor_verification_checklist_v0_2.xlsx</x:v>
      </x:c>
      <x:c r="J5" t="str">
        <x:v>iren_stock_page_gann_registry_v0_6.html</x:v>
      </x:c>
    </x:row>
    <x:row r="6">
      <x:c r="A6" t="str">
        <x:v>HOOD</x:v>
      </x:c>
      <x:c r="B6" t="str">
        <x:v>Gann Live</x:v>
      </x:c>
      <x:c r="C6" t="str">
        <x:v>amos_hood_gann_engine_v0_1.json</x:v>
      </x:c>
      <x:c r="D6" t="n">
        <x:v>37</x:v>
      </x:c>
      <x:c r="E6" t="n">
        <x:v>31</x:v>
      </x:c>
      <x:c r="F6" t="n">
        <x:v>48</x:v>
      </x:c>
      <x:c r="G6" t="str">
        <x:v>no_actionable_resonance</x:v>
      </x:c>
      <x:c r="H6" t="str">
        <x:v>Live price not connected; Verified anchors not confirmed; AVWAP not connected; RSI not connected; Gamma/options not connected; BTC/crypto activity data not connected; Regulatory/news risk feed not connected</x:v>
      </x:c>
      <x:c r="I6" t="str">
        <x:v>amos_gann_anchor_verification_checklist_v0_2.xlsx</x:v>
      </x:c>
      <x:c r="J6" t="str">
        <x:v>hood_stock_page_gann_registry_v0_6.html</x:v>
      </x:c>
    </x:row>
  </x:sheetData>
  <x:conditionalFormatting sqref="D2:F1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aeab67368b44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9" t="str">
        <x:v>Ticker</x:v>
      </x:c>
      <x:c r="B1" s="9" t="str">
        <x:v>Anchors</x:v>
      </x:c>
      <x:c r="C1" s="9" t="str">
        <x:v>Verified</x:v>
      </x:c>
      <x:c r="D1" s="9" t="str">
        <x:v>Unverified</x:v>
      </x:c>
      <x:c r="E1" s="9" t="str">
        <x:v>Can Use</x:v>
      </x:c>
      <x:c r="F1" s="9" t="str">
        <x:v>Avg Verification Score</x:v>
      </x:c>
      <x:c r="G1" s="9" t="str">
        <x:v>Workbook Link</x:v>
      </x:c>
      <x:c r="H1" s="9" t="str">
        <x:v>HTML Link</x:v>
      </x:c>
      <x:c r="I1" s="9" t="str">
        <x:v>Core Rule</x:v>
      </x:c>
    </x:row>
    <x:row r="2">
      <x:c r="A2" s="14" t="str">
        <x:v>CRDO</x:v>
      </x:c>
      <x:c r="B2" s="14" t="n">
        <x:v>0</x:v>
      </x:c>
      <x:c r="C2" s="14" t="n">
        <x:v>0</x:v>
      </x:c>
      <x:c r="D2" s="14" t="n">
        <x:v>0</x:v>
      </x:c>
      <x:c r="E2" s="14" t="n">
        <x:v>0</x:v>
      </x:c>
      <x:c r="F2" s="14" t="str"/>
      <x:c r="G2" s="14" t="str">
        <x:v>amos_gann_anchor_verification_checklist_v0_2.xlsx</x:v>
      </x:c>
      <x:c r="H2" s="14" t="str">
        <x:v>amos_gann_anchor_verification_checklist_v0_2.html</x:v>
      </x:c>
      <x:c r="I2" s="14" t="str">
        <x:v>Sample anchor cannot be used for formal trading until verified.</x:v>
      </x:c>
    </x:row>
    <x:row r="3">
      <x:c r="A3" s="14" t="str">
        <x:v>NVDA</x:v>
      </x:c>
      <x:c r="B3" s="14" t="n">
        <x:v>0</x:v>
      </x:c>
      <x:c r="C3" s="14" t="n">
        <x:v>0</x:v>
      </x:c>
      <x:c r="D3" s="14" t="n">
        <x:v>0</x:v>
      </x:c>
      <x:c r="E3" s="14" t="n">
        <x:v>0</x:v>
      </x:c>
      <x:c r="F3" s="14" t="str"/>
      <x:c r="G3" s="14" t="str">
        <x:v>amos_gann_anchor_verification_checklist_v0_2.xlsx</x:v>
      </x:c>
      <x:c r="H3" s="14" t="str">
        <x:v>amos_gann_anchor_verification_checklist_v0_2.html</x:v>
      </x:c>
      <x:c r="I3" s="14" t="str">
        <x:v>Sample anchor cannot be used for formal trading until verified.</x:v>
      </x:c>
    </x:row>
    <x:row r="4">
      <x:c r="A4" s="14" t="str">
        <x:v>LITE</x:v>
      </x:c>
      <x:c r="B4" s="14" t="n">
        <x:v>0</x:v>
      </x:c>
      <x:c r="C4" s="14" t="n">
        <x:v>0</x:v>
      </x:c>
      <x:c r="D4" s="14" t="n">
        <x:v>0</x:v>
      </x:c>
      <x:c r="E4" s="14" t="n">
        <x:v>0</x:v>
      </x:c>
      <x:c r="F4" s="14" t="str"/>
      <x:c r="G4" s="14" t="str">
        <x:v>amos_gann_anchor_verification_checklist_v0_2.xlsx</x:v>
      </x:c>
      <x:c r="H4" s="14" t="str">
        <x:v>amos_gann_anchor_verification_checklist_v0_2.html</x:v>
      </x:c>
      <x:c r="I4" s="14" t="str">
        <x:v>Sample anchor cannot be used for formal trading until verified.</x:v>
      </x:c>
    </x:row>
    <x:row r="5">
      <x:c r="A5" s="14" t="str">
        <x:v>IREN</x:v>
      </x:c>
      <x:c r="B5" s="14" t="n">
        <x:v>0</x:v>
      </x:c>
      <x:c r="C5" s="14" t="n">
        <x:v>0</x:v>
      </x:c>
      <x:c r="D5" s="14" t="n">
        <x:v>0</x:v>
      </x:c>
      <x:c r="E5" s="14" t="n">
        <x:v>0</x:v>
      </x:c>
      <x:c r="F5" s="14" t="str"/>
      <x:c r="G5" s="14" t="str">
        <x:v>amos_gann_anchor_verification_checklist_v0_2.xlsx</x:v>
      </x:c>
      <x:c r="H5" s="14" t="str">
        <x:v>amos_gann_anchor_verification_checklist_v0_2.html</x:v>
      </x:c>
      <x:c r="I5" s="14" t="str">
        <x:v>Sample anchor cannot be used for formal trading until verified.</x:v>
      </x:c>
    </x:row>
    <x:row r="6">
      <x:c r="A6" s="14" t="str">
        <x:v>HOOD</x:v>
      </x:c>
      <x:c r="B6" s="14" t="n">
        <x:v>0</x:v>
      </x:c>
      <x:c r="C6" s="14" t="n">
        <x:v>0</x:v>
      </x:c>
      <x:c r="D6" s="14" t="n">
        <x:v>0</x:v>
      </x:c>
      <x:c r="E6" s="14" t="n">
        <x:v>0</x:v>
      </x:c>
      <x:c r="F6" s="14" t="str"/>
      <x:c r="G6" s="14" t="str">
        <x:v>amos_gann_anchor_verification_checklist_v0_2.xlsx</x:v>
      </x:c>
      <x:c r="H6" s="14" t="str">
        <x:v>amos_gann_anchor_verification_checklist_v0_2.html</x:v>
      </x:c>
      <x:c r="I6" s="14" t="str">
        <x:v>Sample anchor cannot be used for formal trading until verified.</x:v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</x:sheetData>
  <x:pageMargins left="0.7" right="0.7" top="0.75" bottom="0.75" header="0.3" footer="0.3"/>
  <x:tableParts count="1">
    <x:tablePart xmlns:r="http://schemas.openxmlformats.org/officeDocument/2006/relationships" r:id="R98b28a984fa64a3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Action</x:v>
      </x:c>
      <x:c r="B1" s="4" t="str">
        <x:v>Freshness</x:v>
      </x:c>
      <x:c r="C1" s="4" t="str">
        <x:v>Status</x:v>
      </x:c>
      <x:c r="D1" s="4" t="str">
        <x:v>Role</x:v>
      </x:c>
      <x:c r="E1" s="4" t="str">
        <x:v>Priority</x:v>
      </x:c>
      <x:c r="F1" s="4" t="str">
        <x:v>YesNo</x:v>
      </x:c>
      <x:c r="G1" s="4" t="str">
        <x:v>Verification Status</x:v>
      </x:c>
      <x:c r="H1" s="4" t="str">
        <x:v>Use Permission</x:v>
      </x:c>
    </x:row>
    <x:row r="2">
      <x:c r="A2" t="str">
        <x:v>Attack</x:v>
      </x:c>
      <x:c r="B2" t="str">
        <x:v>Fresh</x:v>
      </x:c>
      <x:c r="C2" t="str">
        <x:v>Open</x:v>
      </x:c>
      <x:c r="D2" t="str">
        <x:v>Core</x:v>
      </x:c>
      <x:c r="E2" t="str">
        <x:v>P0</x:v>
      </x:c>
      <x:c r="F2" t="str">
        <x:v>Yes</x:v>
      </x:c>
      <x:c r="G2" t="str">
        <x:v>Unverified</x:v>
      </x:c>
      <x:c r="H2" t="str">
        <x:v>Do Not Use</x:v>
      </x:c>
    </x:row>
    <x:row r="3">
      <x:c r="A3" t="str">
        <x:v>Build</x:v>
      </x:c>
      <x:c r="B3" t="str">
        <x:v>Partial</x:v>
      </x:c>
      <x:c r="C3" t="str">
        <x:v>Validated</x:v>
      </x:c>
      <x:c r="D3" t="str">
        <x:v>Swing</x:v>
      </x:c>
      <x:c r="E3" t="str">
        <x:v>P1</x:v>
      </x:c>
      <x:c r="F3" t="str">
        <x:v>No</x:v>
      </x:c>
      <x:c r="G3" t="str">
        <x:v>Candidate</x:v>
      </x:c>
      <x:c r="H3" t="str">
        <x:v>Research Only</x:v>
      </x:c>
    </x:row>
    <x:row r="4">
      <x:c r="A4" t="str">
        <x:v>Hold</x:v>
      </x:c>
      <x:c r="B4" t="str">
        <x:v>Stale</x:v>
      </x:c>
      <x:c r="C4" t="str">
        <x:v>Rejected</x:v>
      </x:c>
      <x:c r="D4" t="str">
        <x:v>Tactical</x:v>
      </x:c>
      <x:c r="E4" t="str">
        <x:v>P2</x:v>
      </x:c>
      <x:c r="F4" t="str">
        <x:v>Unknown</x:v>
      </x:c>
      <x:c r="G4" t="str">
        <x:v>Verified</x:v>
      </x:c>
      <x:c r="H4" t="str">
        <x:v>Watch Only</x:v>
      </x:c>
    </x:row>
    <x:row r="5">
      <x:c r="A5" t="str">
        <x:v>Trim Watch</x:v>
      </x:c>
      <x:c r="B5" t="str">
        <x:v>Missing</x:v>
      </x:c>
      <x:c r="C5" t="str">
        <x:v>Archived</x:v>
      </x:c>
      <x:c r="D5" t="str">
        <x:v>Research</x:v>
      </x:c>
      <x:c r="E5" t="str">
        <x:v>P3</x:v>
      </x:c>
      <x:c r="F5" t="str">
        <x:v>N/A</x:v>
      </x:c>
      <x:c r="G5" t="str">
        <x:v>Rejected</x:v>
      </x:c>
      <x:c r="H5" t="str">
        <x:v>Can Use With Confirmation</x:v>
      </x:c>
    </x:row>
    <x:row r="6">
      <x:c r="A6" t="str">
        <x:v>Exit</x:v>
      </x:c>
      <x:c r="B6" t="str"/>
      <x:c r="C6" t="str"/>
      <x:c r="D6" t="str">
        <x:v>Runner</x:v>
      </x:c>
      <x:c r="E6" t="str"/>
      <x:c r="F6" t="str"/>
      <x:c r="G6" t="str">
        <x:v>Archived</x:v>
      </x:c>
      <x:c r="H6" t="str">
        <x:v>Can Use</x:v>
      </x:c>
    </x:row>
    <x:row r="7">
      <x:c r="A7" t="str">
        <x:v>Wait</x:v>
      </x:c>
      <x:c r="B7" t="str"/>
      <x:c r="C7" t="str"/>
      <x:c r="D7" t="str"/>
      <x:c r="E7" t="str"/>
      <x:c r="F7" t="str"/>
      <x:c r="G7" t="str"/>
      <x:c r="H7" t="str"/>
    </x:row>
  </x:sheetData>
  <x:pageMargins left="0.7" right="0.7" top="0.75" bottom="0.75" header="0.3" footer="0.3"/>
</x:worksheet>
</file>