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0dc0b8b95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a4f8007e404b09"/>
    <x:sheet xmlns:r="http://schemas.openxmlformats.org/officeDocument/2006/relationships" name="Anchor Checklist" sheetId="2" r:id="R521fd687bfb94c4d"/>
    <x:sheet xmlns:r="http://schemas.openxmlformats.org/officeDocument/2006/relationships" name="Verification Rules" sheetId="3" r:id="Rc15a6ad723c040ac"/>
    <x:sheet xmlns:r="http://schemas.openxmlformats.org/officeDocument/2006/relationships" name="Ticker-Specific Rules" sheetId="4" r:id="Rd7bf200ea1b9400d"/>
    <x:sheet xmlns:r="http://schemas.openxmlformats.org/officeDocument/2006/relationships" name="Lists" sheetId="5" r:id="R3e84ab2ac83343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DBE6FF"/>
      <x:name val="Carlito"/>
    </x:font>
    <x:font>
      <x:b/>
      <x:sz val="16"/>
      <x:color rgb="FFD166"/>
      <x:name val="Carlito"/>
    </x:font>
    <x:font>
      <x:sz val="11"/>
      <x:color rgb="DBE6FF"/>
      <x:name val="Carlito"/>
    </x:font>
    <x:font>
      <x:b/>
      <x:sz val="11"/>
      <x:color rgb="FF4D6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05070C"/>
      </x:patternFill>
    </x:fill>
    <x:fill>
      <x:patternFill patternType="solid">
        <x:fgColor rgb="10182D"/>
      </x:patternFill>
    </x:fill>
    <x:fill>
      <x:patternFill patternType="solid">
        <x:fgColor rgb="3A1F1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FFD166"/>
      </x:font>
      <x:fill>
        <x:patternFill patternType="solid">
          <x:bgColor rgb="2F2812"/>
        </x:patternFill>
      </x:fill>
    </x:dxf>
    <x:dxf>
      <x:font>
        <x:b/>
        <x:color rgb="32E68A"/>
      </x:font>
      <x:fill>
        <x:patternFill patternType="solid">
          <x:bgColor rgb="143023"/>
        </x:patternFill>
      </x:fill>
    </x:dxf>
    <x:dxf>
      <x:font>
        <x:b/>
        <x:color rgb="FF4D6D"/>
      </x:font>
      <x:fill>
        <x:patternFill patternType="solid">
          <x:bgColor rgb="3A1F1F"/>
        </x:patternFill>
      </x:fill>
    </x:dxf>
    <x:dxf>
      <x:font>
        <x:b/>
        <x:color rgb="23D9FF"/>
      </x:font>
      <x:fill>
        <x:patternFill patternType="solid">
          <x:bgColor rgb="0B243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3d08dbc544e3f" /><Relationship Type="http://schemas.openxmlformats.org/officeDocument/2006/relationships/theme" Target="/xl/theme/theme1.xml" Id="Rb68a2c962def4004" /><Relationship Type="http://schemas.openxmlformats.org/officeDocument/2006/relationships/sharedStrings" Target="/xl/sharedStrings.xml" Id="Refc84886c1be4ed4" /><Relationship Type="http://schemas.openxmlformats.org/officeDocument/2006/relationships/worksheet" Target="/xl/worksheets/sheet1.xml" Id="R80a4f8007e404b09" /><Relationship Type="http://schemas.openxmlformats.org/officeDocument/2006/relationships/worksheet" Target="/xl/worksheets/sheet2.xml" Id="R521fd687bfb94c4d" /><Relationship Type="http://schemas.openxmlformats.org/officeDocument/2006/relationships/worksheet" Target="/xl/worksheets/sheet3.xml" Id="Rc15a6ad723c040ac" /><Relationship Type="http://schemas.openxmlformats.org/officeDocument/2006/relationships/worksheet" Target="/xl/worksheets/sheet4.xml" Id="Rd7bf200ea1b9400d" /><Relationship Type="http://schemas.openxmlformats.org/officeDocument/2006/relationships/worksheet" Target="/xl/worksheets/sheet5.xml" Id="R3e84ab2ac83343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dd9b6918e84c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Anchor Verification by Ticker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Anchors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'Dashboard'!$B$7:$B$11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Verified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'Dashboard'!$C$7:$C$11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Can Use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'Dashboard'!$D$7:$D$11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Unverified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'Dashboard'!$E$7:$E$11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Avg Verification Score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'Dashboard'!$F$7:$F$11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dd9b6918e84c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annAnchorVerificationTableV02" displayName="GannAnchorVerificationTableV02" ref="A1:Z30" headerRowCount="1">
  <x:tableColumns count="26">
    <x:tableColumn id="1" name="Ticker"/>
    <x:tableColumn id="2" name="Engine File"/>
    <x:tableColumn id="3" name="Engine Version"/>
    <x:tableColumn id="4" name="Anchor ID"/>
    <x:tableColumn id="5" name="Anchor Type"/>
    <x:tableColumn id="6" name="Anchor Date"/>
    <x:tableColumn id="7" name="Anchor Price"/>
    <x:tableColumn id="8" name="Current Quality"/>
    <x:tableColumn id="9" name="Special Context"/>
    <x:tableColumn id="10" name="Reason / Original Note"/>
    <x:tableColumn id="11" name="Verification Status"/>
    <x:tableColumn id="12" name="Verification Source"/>
    <x:tableColumn id="13" name="Source URL / Screenshot Ref"/>
    <x:tableColumn id="14" name="Chart Type Checked"/>
    <x:tableColumn id="15" name="Was It Absolute High/Low?"/>
    <x:tableColumn id="16" name="Was Volume/Event Confirmed?"/>
    <x:tableColumn id="17" name="Was Market-Wide Context Checked?"/>
    <x:tableColumn id="18" name="Alternative Anchor Exists?"/>
    <x:tableColumn id="19" name="Ticker-Specific Context Checked?"/>
    <x:tableColumn id="20" name="Verification Score"/>
    <x:tableColumn id="21" name="Use Permission"/>
    <x:tableColumn id="22" name="Priority"/>
    <x:tableColumn id="23" name="Reviewer"/>
    <x:tableColumn id="24" name="Review Date"/>
    <x:tableColumn id="25" name="What Would Reject This Anchor?"/>
    <x:tableColumn id="2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erificationRulesTableV02" displayName="VerificationRulesTableV02" ref="A2:F11" headerRowCount="1">
  <x:tableColumns count="6">
    <x:tableColumn id="1" name="Rule"/>
    <x:tableColumn id="2" name="Requirement"/>
    <x:tableColumn id="3" name="Why It Matters"/>
    <x:tableColumn id="4" name="Can Use?"/>
    <x:tableColumn id="5" name="Action"/>
    <x:tableColumn id="6" name="Column6"/>
  </x:tableColumns>
  <x:tableStyleInfo name="TableStyleMedium2" showRowStripes="1"/>
</x:table>
</file>

<file path=xl/tables/table3.xml><?xml version="1.0" encoding="utf-8"?>
<x:table xmlns:x="http://schemas.openxmlformats.org/spreadsheetml/2006/main" id="3" name="TickerSpecificRulesTable" displayName="TickerSpecificRulesTable" ref="A2:E7" headerRowCount="1">
  <x:tableColumns count="5">
    <x:tableColumn id="1" name="Ticker"/>
    <x:tableColumn id="2" name="Special Context"/>
    <x:tableColumn id="3" name="Must Check"/>
    <x:tableColumn id="4" name="Reject If"/>
    <x:tableColumn id="5" name="Use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cbac36e4a744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c1bf0843fd4b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0a05c6a06d48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7e43af19c04549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2" t="str">
        <x:v>AMOS Gann Anchor Verification Checklist v0.2</x:v>
      </x:c>
      <x:c r="B1" s="14" t="str"/>
      <x:c r="C1" s="14" t="str"/>
      <x:c r="D1" s="14" t="str"/>
      <x:c r="E1" s="14" t="str"/>
      <x:c r="F1" s="14" t="str"/>
      <x:c r="G1" s="14" t="str"/>
      <x:c r="H1" s="14" t="str"/>
    </x:row>
    <x:row r="2">
      <x:c r="A2" s="26" t="str">
        <x:v>Total Anchors</x:v>
      </x:c>
      <x:c r="B2" s="26" t="n">
        <x:f>COUNTA('Anchor Checklist'!D2:D220)</x:f>
        <x:v>12</x:v>
      </x:c>
      <x:c r="C2" s="26" t="str">
        <x:v>Verified</x:v>
      </x:c>
      <x:c r="D2" s="26" t="n">
        <x:f>COUNTIF('Anchor Checklist'!K2:K220,"Verified")</x:f>
        <x:v>0</x:v>
      </x:c>
      <x:c r="E2" s="26" t="str">
        <x:v>Unverified</x:v>
      </x:c>
      <x:c r="F2" s="26" t="n">
        <x:f>COUNTIF('Anchor Checklist'!K2:K220,"Unverified")</x:f>
        <x:v>12</x:v>
      </x:c>
      <x:c r="G2" s="26" t="str"/>
      <x:c r="H2" s="26" t="str"/>
    </x:row>
    <x:row r="3">
      <x:c r="A3" s="26" t="str">
        <x:v>Can Use</x:v>
      </x:c>
      <x:c r="B3" s="26" t="n">
        <x:f>COUNTIF('Anchor Checklist'!U2:U220,"Can Use")</x:f>
        <x:v>0</x:v>
      </x:c>
      <x:c r="C3" s="26" t="str">
        <x:v>Watch Only</x:v>
      </x:c>
      <x:c r="D3" s="26" t="n">
        <x:f>COUNTIF('Anchor Checklist'!U2:U220,"Watch Only")</x:f>
        <x:v>0</x:v>
      </x:c>
      <x:c r="E3" s="26" t="str">
        <x:v>Do Not Use</x:v>
      </x:c>
      <x:c r="F3" s="26" t="n">
        <x:f>COUNTIF('Anchor Checklist'!U2:U220,"Do Not Use")</x:f>
        <x:v>0</x:v>
      </x:c>
      <x:c r="G3" s="26" t="str"/>
      <x:c r="H3" s="26" t="str"/>
    </x:row>
    <x:row r="4">
      <x:c r="A4" s="26" t="str">
        <x:v>Gann Live Tickers</x:v>
      </x:c>
      <x:c r="B4" s="26" t="str">
        <x:v>CRDO / NVDA / LITE / IREN / HOOD</x:v>
      </x:c>
      <x:c r="C4" s="26" t="str">
        <x:v>Version</x:v>
      </x:c>
      <x:c r="D4" s="26" t="str">
        <x:v>v0.2</x:v>
      </x:c>
      <x:c r="E4" s="26" t="str">
        <x:v>Mode</x:v>
      </x:c>
      <x:c r="F4" s="26" t="str">
        <x:v>Sample anchors require verification</x:v>
      </x:c>
      <x:c r="G4" s="26" t="str"/>
      <x:c r="H4" s="26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</x:row>
    <x:row r="6">
      <x:c r="A6" s="9" t="str">
        <x:v>Ticker</x:v>
      </x:c>
      <x:c r="B6" s="9" t="str">
        <x:v>Anchors</x:v>
      </x:c>
      <x:c r="C6" s="9" t="str">
        <x:v>Verified</x:v>
      </x:c>
      <x:c r="D6" s="9" t="str">
        <x:v>Can Use</x:v>
      </x:c>
      <x:c r="E6" s="9" t="str">
        <x:v>Unverified</x:v>
      </x:c>
      <x:c r="F6" s="9" t="str">
        <x:v>Avg Verification Score</x:v>
      </x:c>
      <x:c r="G6" s="9" t="str">
        <x:v>Special Context</x:v>
      </x:c>
      <x:c r="H6" s="9" t="str"/>
    </x:row>
    <x:row r="7">
      <x:c r="A7" s="14" t="str">
        <x:v>CRDO</x:v>
      </x:c>
      <x:c r="B7" s="14" t="n">
        <x:f>COUNTIF('Anchor Checklist'!A2:A220,"CRDO")</x:f>
        <x:v>0</x:v>
      </x:c>
      <x:c r="C7" s="14" t="n">
        <x:f>COUNTIFS('Anchor Checklist'!A2:A220,"CRDO",'Anchor Checklist'!K2:K220,"Verified")</x:f>
        <x:v>0</x:v>
      </x:c>
      <x:c r="D7" s="14" t="n">
        <x:f>COUNTIFS('Anchor Checklist'!A2:A220,"CRDO",'Anchor Checklist'!U2:U220,"Can Use")</x:f>
        <x:v>0</x:v>
      </x:c>
      <x:c r="E7" s="14" t="n">
        <x:f>COUNTIFS('Anchor Checklist'!A2:A220,"CRDO",'Anchor Checklist'!K2:K220,"Unverified")</x:f>
        <x:v>0</x:v>
      </x:c>
      <x:c r="F7" s="14" t="str">
        <x:f>IFERROR(ROUND(SUMIF('Anchor Checklist'!A2:A220,"CRDO",'Anchor Checklist'!T2:T220)/COUNTIF('Anchor Checklist'!A2:A220,"CRDO"),0),"")</x:f>
      </x:c>
      <x:c r="G7" s="14" t="str">
        <x:v>AI optical/connectivity</x:v>
      </x:c>
      <x:c r="H7" s="14" t="str"/>
    </x:row>
    <x:row r="8">
      <x:c r="A8" s="14" t="str">
        <x:v>NVDA</x:v>
      </x:c>
      <x:c r="B8" s="14" t="n">
        <x:f>COUNTIF('Anchor Checklist'!A2:A220,"NVDA")</x:f>
        <x:v>3</x:v>
      </x:c>
      <x:c r="C8" s="14" t="n">
        <x:f>COUNTIFS('Anchor Checklist'!A2:A220,"NVDA",'Anchor Checklist'!K2:K220,"Verified")</x:f>
        <x:v>0</x:v>
      </x:c>
      <x:c r="D8" s="14" t="n">
        <x:f>COUNTIFS('Anchor Checklist'!A2:A220,"NVDA",'Anchor Checklist'!U2:U220,"Can Use")</x:f>
        <x:v>0</x:v>
      </x:c>
      <x:c r="E8" s="14" t="n">
        <x:f>COUNTIFS('Anchor Checklist'!A2:A220,"NVDA",'Anchor Checklist'!K2:K220,"Unverified")</x:f>
        <x:v>3</x:v>
      </x:c>
      <x:c r="F8" s="14" t="n">
        <x:f>IFERROR(ROUND(SUMIF('Anchor Checklist'!A2:A220,"NVDA",'Anchor Checklist'!T2:T220)/COUNTIF('Anchor Checklist'!A2:A220,"NVDA"),0),"")</x:f>
        <x:v>40</x:v>
      </x:c>
      <x:c r="G8" s="14" t="str">
        <x:v>AI infra anchor</x:v>
      </x:c>
      <x:c r="H8" s="14" t="str"/>
    </x:row>
    <x:row r="9">
      <x:c r="A9" s="14" t="str">
        <x:v>LITE</x:v>
      </x:c>
      <x:c r="B9" s="14" t="n">
        <x:f>COUNTIF('Anchor Checklist'!A2:A220,"LITE")</x:f>
        <x:v>3</x:v>
      </x:c>
      <x:c r="C9" s="14" t="n">
        <x:f>COUNTIFS('Anchor Checklist'!A2:A220,"LITE",'Anchor Checklist'!K2:K220,"Verified")</x:f>
        <x:v>0</x:v>
      </x:c>
      <x:c r="D9" s="14" t="n">
        <x:f>COUNTIFS('Anchor Checklist'!A2:A220,"LITE",'Anchor Checklist'!U2:U220,"Can Use")</x:f>
        <x:v>0</x:v>
      </x:c>
      <x:c r="E9" s="14" t="n">
        <x:f>COUNTIFS('Anchor Checklist'!A2:A220,"LITE",'Anchor Checklist'!K2:K220,"Unverified")</x:f>
        <x:v>3</x:v>
      </x:c>
      <x:c r="F9" s="14" t="n">
        <x:f>IFERROR(ROUND(SUMIF('Anchor Checklist'!A2:A220,"LITE",'Anchor Checklist'!T2:T220)/COUNTIF('Anchor Checklist'!A2:A220,"LITE"),0),"")</x:f>
        <x:v>40</x:v>
      </x:c>
      <x:c r="G9" s="14" t="str">
        <x:v>AI optical recovery</x:v>
      </x:c>
      <x:c r="H9" s="14" t="str"/>
    </x:row>
    <x:row r="10">
      <x:c r="A10" s="14" t="str">
        <x:v>IREN</x:v>
      </x:c>
      <x:c r="B10" s="14" t="n">
        <x:f>COUNTIF('Anchor Checklist'!A2:A220,"IREN")</x:f>
        <x:v>3</x:v>
      </x:c>
      <x:c r="C10" s="14" t="n">
        <x:f>COUNTIFS('Anchor Checklist'!A2:A220,"IREN",'Anchor Checklist'!K2:K220,"Verified")</x:f>
        <x:v>0</x:v>
      </x:c>
      <x:c r="D10" s="14" t="n">
        <x:f>COUNTIFS('Anchor Checklist'!A2:A220,"IREN",'Anchor Checklist'!U2:U220,"Can Use")</x:f>
        <x:v>0</x:v>
      </x:c>
      <x:c r="E10" s="14" t="n">
        <x:f>COUNTIFS('Anchor Checklist'!A2:A220,"IREN",'Anchor Checklist'!K2:K220,"Unverified")</x:f>
        <x:v>3</x:v>
      </x:c>
      <x:c r="F10" s="14" t="n">
        <x:f>IFERROR(ROUND(SUMIF('Anchor Checklist'!A2:A220,"IREN",'Anchor Checklist'!T2:T220)/COUNTIF('Anchor Checklist'!A2:A220,"IREN"),0),"")</x:f>
        <x:v>40</x:v>
      </x:c>
      <x:c r="G10" s="14" t="str">
        <x:v>BTC miner + AI compute</x:v>
      </x:c>
      <x:c r="H10" s="14" t="str"/>
    </x:row>
    <x:row r="11">
      <x:c r="A11" s="14" t="str">
        <x:v>HOOD</x:v>
      </x:c>
      <x:c r="B11" s="14" t="n">
        <x:f>COUNTIF('Anchor Checklist'!A2:A220,"HOOD")</x:f>
        <x:v>3</x:v>
      </x:c>
      <x:c r="C11" s="14" t="n">
        <x:f>COUNTIFS('Anchor Checklist'!A2:A220,"HOOD",'Anchor Checklist'!K2:K220,"Verified")</x:f>
        <x:v>0</x:v>
      </x:c>
      <x:c r="D11" s="14" t="n">
        <x:f>COUNTIFS('Anchor Checklist'!A2:A220,"HOOD",'Anchor Checklist'!U2:U220,"Can Use")</x:f>
        <x:v>0</x:v>
      </x:c>
      <x:c r="E11" s="14" t="n">
        <x:f>COUNTIFS('Anchor Checklist'!A2:A220,"HOOD",'Anchor Checklist'!K2:K220,"Unverified")</x:f>
        <x:v>3</x:v>
      </x:c>
      <x:c r="F11" s="14" t="n">
        <x:f>IFERROR(ROUND(SUMIF('Anchor Checklist'!A2:A220,"HOOD",'Anchor Checklist'!T2:T220)/COUNTIF('Anchor Checklist'!A2:A220,"HOOD"),0),"")</x:f>
        <x:v>40</x:v>
      </x:c>
      <x:c r="G11" s="14" t="str">
        <x:v>BTC/fintech/trading activity</x:v>
      </x:c>
      <x:c r="H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</x:row>
    <x:row r="13">
      <x:c r="A13" s="32" t="str">
        <x:v>Core Rule</x:v>
      </x:c>
      <x:c r="B13" s="14" t="str">
        <x:v>Any sample/manual-ready anchor cannot be used for real trading until verified from actual chart data and confirmed by AVWAP/RSI/TCG.</x:v>
      </x:c>
      <x:c r="C13" s="14" t="str"/>
      <x:c r="D13" s="14" t="str"/>
      <x:c r="E13" s="14" t="str"/>
      <x:c r="F13" s="14" t="str"/>
      <x:c r="G13" s="14" t="str"/>
      <x:c r="H13" s="14" t="str"/>
    </x:row>
  </x:sheetData>
  <x:mergeCells>
    <x:mergeCell ref="A1:H1"/>
    <x:mergeCell ref="A13:H13"/>
  </x:mergeCells>
  <x:pageMargins left="0.7" right="0.7" top="0.75" bottom="0.75" header="0.3" footer="0.3"/>
  <x:drawing xmlns:r="http://schemas.openxmlformats.org/officeDocument/2006/relationships" r:id="R9acbac36e4a7448b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34" hidden="0" customWidth="1"/>
    <x:col min="5" max="5" width="20" hidden="0" customWidth="1"/>
    <x:col min="6" max="6" width="13" hidden="0" customWidth="1"/>
    <x:col min="7" max="7" width="12" hidden="0" customWidth="1"/>
    <x:col min="8" max="8" width="12" hidden="0" customWidth="1"/>
    <x:col min="9" max="9" width="24" hidden="0" customWidth="1"/>
    <x:col min="10" max="10" width="42" hidden="0" customWidth="1"/>
    <x:col min="11" max="11" width="16" hidden="0" customWidth="1"/>
    <x:col min="12" max="12" width="18" hidden="0" customWidth="1"/>
    <x:col min="13" max="13" width="30" hidden="0" customWidth="1"/>
    <x:col min="14" max="14" width="18" hidden="0" customWidth="1"/>
    <x:col min="15" max="15" width="18" hidden="0" customWidth="1"/>
    <x:col min="16" max="16" width="20" hidden="0" customWidth="1"/>
    <x:col min="17" max="17" width="22" hidden="0" customWidth="1"/>
    <x:col min="18" max="18" width="20" hidden="0" customWidth="1"/>
    <x:col min="19" max="19" width="24" hidden="0" customWidth="1"/>
    <x:col min="20" max="20" width="16" hidden="0" customWidth="1"/>
    <x:col min="21" max="21" width="22" hidden="0" customWidth="1"/>
    <x:col min="22" max="22" width="10" hidden="0" customWidth="1"/>
    <x:col min="23" max="23" width="14" hidden="0" customWidth="1"/>
    <x:col min="24" max="24" width="13" hidden="0" customWidth="1"/>
    <x:col min="25" max="25" width="38" hidden="0" customWidth="1"/>
    <x:col min="26" max="26" width="28" hidden="0" customWidth="1"/>
  </x:cols>
  <x:sheetData>
    <x:row r="1">
      <x:c r="A1" s="10" t="str">
        <x:v>Ticker</x:v>
      </x:c>
      <x:c r="B1" s="10" t="str">
        <x:v>Engine File</x:v>
      </x:c>
      <x:c r="C1" s="10" t="str">
        <x:v>Engine Version</x:v>
      </x:c>
      <x:c r="D1" s="10" t="str">
        <x:v>Anchor ID</x:v>
      </x:c>
      <x:c r="E1" s="10" t="str">
        <x:v>Anchor Type</x:v>
      </x:c>
      <x:c r="F1" s="10" t="str">
        <x:v>Anchor Date</x:v>
      </x:c>
      <x:c r="G1" s="10" t="str">
        <x:v>Anchor Price</x:v>
      </x:c>
      <x:c r="H1" s="10" t="str">
        <x:v>Current Quality</x:v>
      </x:c>
      <x:c r="I1" s="10" t="str">
        <x:v>Special Context</x:v>
      </x:c>
      <x:c r="J1" s="10" t="str">
        <x:v>Reason / Original Note</x:v>
      </x:c>
      <x:c r="K1" s="10" t="str">
        <x:v>Verification Status</x:v>
      </x:c>
      <x:c r="L1" s="10" t="str">
        <x:v>Verification Source</x:v>
      </x:c>
      <x:c r="M1" s="10" t="str">
        <x:v>Source URL / Screenshot Ref</x:v>
      </x:c>
      <x:c r="N1" s="10" t="str">
        <x:v>Chart Type Checked</x:v>
      </x:c>
      <x:c r="O1" s="10" t="str">
        <x:v>Was It Absolute High/Low?</x:v>
      </x:c>
      <x:c r="P1" s="10" t="str">
        <x:v>Was Volume/Event Confirmed?</x:v>
      </x:c>
      <x:c r="Q1" s="10" t="str">
        <x:v>Was Market-Wide Context Checked?</x:v>
      </x:c>
      <x:c r="R1" s="10" t="str">
        <x:v>Alternative Anchor Exists?</x:v>
      </x:c>
      <x:c r="S1" s="10" t="str">
        <x:v>Ticker-Specific Context Checked?</x:v>
      </x:c>
      <x:c r="T1" s="10" t="str">
        <x:v>Verification Score</x:v>
      </x:c>
      <x:c r="U1" s="10" t="str">
        <x:v>Use Permission</x:v>
      </x:c>
      <x:c r="V1" s="10" t="str">
        <x:v>Priority</x:v>
      </x:c>
      <x:c r="W1" s="10" t="str">
        <x:v>Reviewer</x:v>
      </x:c>
      <x:c r="X1" s="10" t="str">
        <x:v>Review Date</x:v>
      </x:c>
      <x:c r="Y1" s="10" t="str">
        <x:v>What Would Reject This Anchor?</x:v>
      </x:c>
      <x:c r="Z1" s="10" t="str">
        <x:v>Notes</x:v>
      </x:c>
    </x:row>
    <x:row r="2">
      <x:c r="A2" s="14" t="str">
        <x:v>NVDA</x:v>
      </x:c>
      <x:c r="B2" s="14" t="str">
        <x:v>amos_nvda_gann_engine_v0_1.json</x:v>
      </x:c>
      <x:c r="C2" s="14" t="str">
        <x:v>AMOS NVDA Gann Engine v0.1</x:v>
      </x:c>
      <x:c r="D2" s="14" t="str">
        <x:v>nvda_sample_major_low_2025_04_07</x:v>
      </x:c>
      <x:c r="E2" s="14" t="str">
        <x:v>sample_major_low</x:v>
      </x:c>
      <x:c r="F2" s="14" t="str">
        <x:v>2025-04-07</x:v>
      </x:c>
      <x:c r="G2" s="14" t="n">
        <x:v>86.62</x:v>
      </x:c>
      <x:c r="H2" s="14" t="n">
        <x:v>75</x:v>
      </x:c>
      <x:c r="I2" s="14" t="str">
        <x:v>AI infrastructure anchor</x:v>
      </x:c>
      <x:c r="J2" s="14" t="str">
        <x:v>Sample only: market-wide tariff/panic low placeholder</x:v>
      </x:c>
      <x:c r="K2" s="14" t="str">
        <x:v>Unverified</x:v>
      </x:c>
      <x:c r="L2" s="14" t="str"/>
      <x:c r="M2" s="14" t="str"/>
      <x:c r="N2" s="14" t="str"/>
      <x:c r="O2" s="14" t="str">
        <x:v>Unknown</x:v>
      </x:c>
      <x:c r="P2" s="14" t="str">
        <x:v>Unknown</x:v>
      </x:c>
      <x:c r="Q2" s="14" t="str">
        <x:v>Unknown</x:v>
      </x:c>
      <x:c r="R2" s="14" t="str">
        <x:v>Unknown</x:v>
      </x:c>
      <x:c r="S2" s="14" t="str">
        <x:v>Unknown</x:v>
      </x:c>
      <x:c r="T2" s="14" t="n">
        <x:f>IF(K2="Verified",ROUND(H2*0.30+IF(O2="Yes",18,0)+IF(P2="Yes",14,0)+IF(Q2="Yes",14,0)+IF(R2="No",12,0)+IF(S2="Yes",12,0),0),IF(K2="Candidate",MIN(60,H2),IF(K2="Rejected",0,MIN(40,H2))))</x:f>
        <x:v>40</x:v>
      </x:c>
      <x:c r="U2" s="14" t="str">
        <x:f>IF(T2&gt;=80,"Can Use",IF(T2&gt;=65,"Can Use With Confirmation",IF(T2&gt;=50,"Watch Only",IF(T2&gt;=30,"Research Only","Do Not Use"))))</x:f>
        <x:v>Research Only</x:v>
      </x:c>
      <x:c r="V2" s="14" t="str">
        <x:f>IF(OR(A2="CRDO",A2="LITE"),"P0",IF(OR(A2="NVDA",A2="IREN",A2="HOOD"),"P1","P2"))</x:f>
        <x:v>P1</x:v>
      </x:c>
      <x:c r="W2" s="14" t="str">
        <x:v>AMOS/User</x:v>
      </x:c>
      <x:c r="X2" s="14" t="str">
        <x:v>2026-05-24</x:v>
      </x:c>
      <x:c r="Y2" s="14" t="str">
        <x:v>If actual chart does not show a market-recognized extreme/gap/event pivot on this date/price.</x:v>
      </x:c>
      <x:c r="Z2" s="14" t="str"/>
    </x:row>
    <x:row r="3">
      <x:c r="A3" s="14" t="str">
        <x:v>NVDA</x:v>
      </x:c>
      <x:c r="B3" s="14" t="str">
        <x:v>amos_nvda_gann_engine_v0_1.json</x:v>
      </x:c>
      <x:c r="C3" s="14" t="str">
        <x:v>AMOS NVDA Gann Engine v0.1</x:v>
      </x:c>
      <x:c r="D3" s="14" t="str">
        <x:v>nvda_sample_earnings_gap_2025_08_28</x:v>
      </x:c>
      <x:c r="E3" s="14" t="str">
        <x:v>sample_earnings_gap</x:v>
      </x:c>
      <x:c r="F3" s="14" t="str">
        <x:v>2025-08-28</x:v>
      </x:c>
      <x:c r="G3" s="14" t="n">
        <x:v>125.61</x:v>
      </x:c>
      <x:c r="H3" s="14" t="n">
        <x:v>68</x:v>
      </x:c>
      <x:c r="I3" s="14" t="str">
        <x:v>AI infrastructure anchor</x:v>
      </x:c>
      <x:c r="J3" s="14" t="str">
        <x:v>Sample only: earnings/event anchor placeholder</x:v>
      </x:c>
      <x:c r="K3" s="14" t="str">
        <x:v>Unverified</x:v>
      </x:c>
      <x:c r="L3" s="14" t="str"/>
      <x:c r="M3" s="14" t="str"/>
      <x:c r="N3" s="14" t="str"/>
      <x:c r="O3" s="14" t="str">
        <x:v>Unknown</x:v>
      </x:c>
      <x:c r="P3" s="14" t="str">
        <x:v>Unknown</x:v>
      </x:c>
      <x:c r="Q3" s="14" t="str">
        <x:v>Unknown</x:v>
      </x:c>
      <x:c r="R3" s="14" t="str">
        <x:v>Unknown</x:v>
      </x:c>
      <x:c r="S3" s="14" t="str">
        <x:v>Unknown</x:v>
      </x:c>
      <x:c r="T3" s="14" t="n">
        <x:f>IF(K3="Verified",ROUND(H3*0.30+IF(O3="Yes",18,0)+IF(P3="Yes",14,0)+IF(Q3="Yes",14,0)+IF(R3="No",12,0)+IF(S3="Yes",12,0),0),IF(K3="Candidate",MIN(60,H3),IF(K3="Rejected",0,MIN(40,H3))))</x:f>
        <x:v>40</x:v>
      </x:c>
      <x:c r="U3" s="14" t="str">
        <x:f>IF(T3&gt;=80,"Can Use",IF(T3&gt;=65,"Can Use With Confirmation",IF(T3&gt;=50,"Watch Only",IF(T3&gt;=30,"Research Only","Do Not Use"))))</x:f>
        <x:v>Research Only</x:v>
      </x:c>
      <x:c r="V3" s="14" t="str">
        <x:f>IF(OR(A3="CRDO",A3="LITE"),"P0",IF(OR(A3="NVDA",A3="IREN",A3="HOOD"),"P1","P2"))</x:f>
        <x:v>P1</x:v>
      </x:c>
      <x:c r="W3" s="14" t="str">
        <x:v>AMOS/User</x:v>
      </x:c>
      <x:c r="X3" s="14" t="str">
        <x:v>2026-05-24</x:v>
      </x:c>
      <x:c r="Y3" s="14" t="str">
        <x:v>If actual chart does not show a market-recognized extreme/gap/event pivot on this date/price.</x:v>
      </x:c>
      <x:c r="Z3" s="14" t="str"/>
    </x:row>
    <x:row r="4">
      <x:c r="A4" s="14" t="str">
        <x:v>NVDA</x:v>
      </x:c>
      <x:c r="B4" s="14" t="str">
        <x:v>amos_nvda_gann_engine_v0_1.json</x:v>
      </x:c>
      <x:c r="C4" s="14" t="str">
        <x:v>AMOS NVDA Gann Engine v0.1</x:v>
      </x:c>
      <x:c r="D4" s="14" t="str">
        <x:v>nvda_sample_major_high_2026_02_14</x:v>
      </x:c>
      <x:c r="E4" s="14" t="str">
        <x:v>sample_major_high</x:v>
      </x:c>
      <x:c r="F4" s="14" t="str">
        <x:v>2026-02-14</x:v>
      </x:c>
      <x:c r="G4" s="14" t="n">
        <x:v>153.13</x:v>
      </x:c>
      <x:c r="H4" s="14" t="n">
        <x:v>72</x:v>
      </x:c>
      <x:c r="I4" s="14" t="str">
        <x:v>AI infrastructure anchor</x:v>
      </x:c>
      <x:c r="J4" s="14" t="str">
        <x:v>Sample only: major high placeholder</x:v>
      </x:c>
      <x:c r="K4" s="14" t="str">
        <x:v>Unverified</x:v>
      </x:c>
      <x:c r="L4" s="14" t="str"/>
      <x:c r="M4" s="14" t="str"/>
      <x:c r="N4" s="14" t="str"/>
      <x:c r="O4" s="14" t="str">
        <x:v>Unknown</x:v>
      </x:c>
      <x:c r="P4" s="14" t="str">
        <x:v>Unknown</x:v>
      </x:c>
      <x:c r="Q4" s="14" t="str">
        <x:v>Unknown</x:v>
      </x:c>
      <x:c r="R4" s="14" t="str">
        <x:v>Unknown</x:v>
      </x:c>
      <x:c r="S4" s="14" t="str">
        <x:v>Unknown</x:v>
      </x:c>
      <x:c r="T4" s="14" t="n">
        <x:f>IF(K4="Verified",ROUND(H4*0.30+IF(O4="Yes",18,0)+IF(P4="Yes",14,0)+IF(Q4="Yes",14,0)+IF(R4="No",12,0)+IF(S4="Yes",12,0),0),IF(K4="Candidate",MIN(60,H4),IF(K4="Rejected",0,MIN(40,H4))))</x:f>
        <x:v>40</x:v>
      </x:c>
      <x:c r="U4" s="14" t="str">
        <x:f>IF(T4&gt;=80,"Can Use",IF(T4&gt;=65,"Can Use With Confirmation",IF(T4&gt;=50,"Watch Only",IF(T4&gt;=30,"Research Only","Do Not Use"))))</x:f>
        <x:v>Research Only</x:v>
      </x:c>
      <x:c r="V4" s="14" t="str">
        <x:f>IF(OR(A4="CRDO",A4="LITE"),"P0",IF(OR(A4="NVDA",A4="IREN",A4="HOOD"),"P1","P2"))</x:f>
        <x:v>P1</x:v>
      </x:c>
      <x:c r="W4" s="14" t="str">
        <x:v>AMOS/User</x:v>
      </x:c>
      <x:c r="X4" s="14" t="str">
        <x:v>2026-05-24</x:v>
      </x:c>
      <x:c r="Y4" s="14" t="str">
        <x:v>If actual chart does not show a market-recognized extreme/gap/event pivot on this date/price.</x:v>
      </x:c>
      <x:c r="Z4" s="14" t="str"/>
    </x:row>
    <x:row r="5">
      <x:c r="A5" s="14" t="str">
        <x:v>LITE</x:v>
      </x:c>
      <x:c r="B5" s="14" t="str">
        <x:v>amos_lite_gann_engine_v0_1.json</x:v>
      </x:c>
      <x:c r="C5" s="14" t="str">
        <x:v>AMOS LITE Gann Engine v0.1</x:v>
      </x:c>
      <x:c r="D5" s="14" t="str">
        <x:v>lite_sample_major_low_2025_04_08</x:v>
      </x:c>
      <x:c r="E5" s="14" t="str">
        <x:v>sample_major_low</x:v>
      </x:c>
      <x:c r="F5" s="14" t="str">
        <x:v>2025-04-08</x:v>
      </x:c>
      <x:c r="G5" s="14" t="n">
        <x:v>38.44</x:v>
      </x:c>
      <x:c r="H5" s="14" t="n">
        <x:v>72</x:v>
      </x:c>
      <x:c r="I5" s="14" t="str">
        <x:v>AI optical / connectivity</x:v>
      </x:c>
      <x:c r="J5" s="14" t="str">
        <x:v>Sample only: market-wide panic / optical reset placeholder</x:v>
      </x:c>
      <x:c r="K5" s="14" t="str">
        <x:v>Unverified</x:v>
      </x:c>
      <x:c r="L5" s="14" t="str"/>
      <x:c r="M5" s="14" t="str"/>
      <x:c r="N5" s="14" t="str"/>
      <x:c r="O5" s="14" t="str">
        <x:v>Unknown</x:v>
      </x:c>
      <x:c r="P5" s="14" t="str">
        <x:v>Unknown</x:v>
      </x:c>
      <x:c r="Q5" s="14" t="str">
        <x:v>Unknown</x:v>
      </x:c>
      <x:c r="R5" s="14" t="str">
        <x:v>Unknown</x:v>
      </x:c>
      <x:c r="S5" s="14" t="str">
        <x:v>Unknown</x:v>
      </x:c>
      <x:c r="T5" s="14" t="n">
        <x:f>IF(K5="Verified",ROUND(H5*0.30+IF(O5="Yes",18,0)+IF(P5="Yes",14,0)+IF(Q5="Yes",14,0)+IF(R5="No",12,0)+IF(S5="Yes",12,0),0),IF(K5="Candidate",MIN(60,H5),IF(K5="Rejected",0,MIN(40,H5))))</x:f>
        <x:v>40</x:v>
      </x:c>
      <x:c r="U5" s="14" t="str">
        <x:f>IF(T5&gt;=80,"Can Use",IF(T5&gt;=65,"Can Use With Confirmation",IF(T5&gt;=50,"Watch Only",IF(T5&gt;=30,"Research Only","Do Not Use"))))</x:f>
        <x:v>Research Only</x:v>
      </x:c>
      <x:c r="V5" s="14" t="str">
        <x:f>IF(OR(A5="CRDO",A5="LITE"),"P0",IF(OR(A5="NVDA",A5="IREN",A5="HOOD"),"P1","P2"))</x:f>
        <x:v>P0</x:v>
      </x:c>
      <x:c r="W5" s="14" t="str">
        <x:v>AMOS/User</x:v>
      </x:c>
      <x:c r="X5" s="14" t="str">
        <x:v>2026-05-24</x:v>
      </x:c>
      <x:c r="Y5" s="14" t="str">
        <x:v>If actual chart does not show a market-recognized extreme/gap/event pivot on this date/price.</x:v>
      </x:c>
      <x:c r="Z5" s="14" t="str"/>
    </x:row>
    <x:row r="6">
      <x:c r="A6" s="14" t="str">
        <x:v>LITE</x:v>
      </x:c>
      <x:c r="B6" s="14" t="str">
        <x:v>amos_lite_gann_engine_v0_1.json</x:v>
      </x:c>
      <x:c r="C6" s="14" t="str">
        <x:v>AMOS LITE Gann Engine v0.1</x:v>
      </x:c>
      <x:c r="D6" s="14" t="str">
        <x:v>lite_sample_earnings_gap_2025_11_07</x:v>
      </x:c>
      <x:c r="E6" s="14" t="str">
        <x:v>sample_earnings_gap</x:v>
      </x:c>
      <x:c r="F6" s="14" t="str">
        <x:v>2025-11-07</x:v>
      </x:c>
      <x:c r="G6" s="14" t="n">
        <x:v>78.35</x:v>
      </x:c>
      <x:c r="H6" s="14" t="n">
        <x:v>66</x:v>
      </x:c>
      <x:c r="I6" s="14" t="str">
        <x:v>AI optical / connectivity</x:v>
      </x:c>
      <x:c r="J6" s="14" t="str">
        <x:v>Sample only: earnings/event anchor placeholder</x:v>
      </x:c>
      <x:c r="K6" s="14" t="str">
        <x:v>Unverified</x:v>
      </x:c>
      <x:c r="L6" s="14" t="str"/>
      <x:c r="M6" s="14" t="str"/>
      <x:c r="N6" s="14" t="str"/>
      <x:c r="O6" s="14" t="str">
        <x:v>Unknown</x:v>
      </x:c>
      <x:c r="P6" s="14" t="str">
        <x:v>Unknown</x:v>
      </x:c>
      <x:c r="Q6" s="14" t="str">
        <x:v>Unknown</x:v>
      </x:c>
      <x:c r="R6" s="14" t="str">
        <x:v>Unknown</x:v>
      </x:c>
      <x:c r="S6" s="14" t="str">
        <x:v>Unknown</x:v>
      </x:c>
      <x:c r="T6" s="14" t="n">
        <x:f>IF(K6="Verified",ROUND(H6*0.30+IF(O6="Yes",18,0)+IF(P6="Yes",14,0)+IF(Q6="Yes",14,0)+IF(R6="No",12,0)+IF(S6="Yes",12,0),0),IF(K6="Candidate",MIN(60,H6),IF(K6="Rejected",0,MIN(40,H6))))</x:f>
        <x:v>40</x:v>
      </x:c>
      <x:c r="U6" s="14" t="str">
        <x:f>IF(T6&gt;=80,"Can Use",IF(T6&gt;=65,"Can Use With Confirmation",IF(T6&gt;=50,"Watch Only",IF(T6&gt;=30,"Research Only","Do Not Use"))))</x:f>
        <x:v>Research Only</x:v>
      </x:c>
      <x:c r="V6" s="14" t="str">
        <x:f>IF(OR(A6="CRDO",A6="LITE"),"P0",IF(OR(A6="NVDA",A6="IREN",A6="HOOD"),"P1","P2"))</x:f>
        <x:v>P0</x:v>
      </x:c>
      <x:c r="W6" s="14" t="str">
        <x:v>AMOS/User</x:v>
      </x:c>
      <x:c r="X6" s="14" t="str">
        <x:v>2026-05-24</x:v>
      </x:c>
      <x:c r="Y6" s="14" t="str">
        <x:v>If actual chart does not show a market-recognized extreme/gap/event pivot on this date/price.</x:v>
      </x:c>
      <x:c r="Z6" s="14" t="str"/>
    </x:row>
    <x:row r="7">
      <x:c r="A7" s="14" t="str">
        <x:v>LITE</x:v>
      </x:c>
      <x:c r="B7" s="14" t="str">
        <x:v>amos_lite_gann_engine_v0_1.json</x:v>
      </x:c>
      <x:c r="C7" s="14" t="str">
        <x:v>AMOS LITE Gann Engine v0.1</x:v>
      </x:c>
      <x:c r="D7" s="14" t="str">
        <x:v>lite_sample_swing_high_2026_03_18</x:v>
      </x:c>
      <x:c r="E7" s="14" t="str">
        <x:v>sample_swing_high</x:v>
      </x:c>
      <x:c r="F7" s="14" t="str">
        <x:v>2026-03-18</x:v>
      </x:c>
      <x:c r="G7" s="14" t="n">
        <x:v>106.7</x:v>
      </x:c>
      <x:c r="H7" s="14" t="n">
        <x:v>70</x:v>
      </x:c>
      <x:c r="I7" s="14" t="str">
        <x:v>AI optical / connectivity</x:v>
      </x:c>
      <x:c r="J7" s="14" t="str">
        <x:v>Sample only: swing high / recovery high placeholder</x:v>
      </x:c>
      <x:c r="K7" s="14" t="str">
        <x:v>Unverified</x:v>
      </x:c>
      <x:c r="L7" s="14" t="str"/>
      <x:c r="M7" s="14" t="str"/>
      <x:c r="N7" s="14" t="str"/>
      <x:c r="O7" s="14" t="str">
        <x:v>Unknown</x:v>
      </x:c>
      <x:c r="P7" s="14" t="str">
        <x:v>Unknown</x:v>
      </x:c>
      <x:c r="Q7" s="14" t="str">
        <x:v>Unknown</x:v>
      </x:c>
      <x:c r="R7" s="14" t="str">
        <x:v>Unknown</x:v>
      </x:c>
      <x:c r="S7" s="14" t="str">
        <x:v>Unknown</x:v>
      </x:c>
      <x:c r="T7" s="14" t="n">
        <x:f>IF(K7="Verified",ROUND(H7*0.30+IF(O7="Yes",18,0)+IF(P7="Yes",14,0)+IF(Q7="Yes",14,0)+IF(R7="No",12,0)+IF(S7="Yes",12,0),0),IF(K7="Candidate",MIN(60,H7),IF(K7="Rejected",0,MIN(40,H7))))</x:f>
        <x:v>40</x:v>
      </x:c>
      <x:c r="U7" s="14" t="str">
        <x:f>IF(T7&gt;=80,"Can Use",IF(T7&gt;=65,"Can Use With Confirmation",IF(T7&gt;=50,"Watch Only",IF(T7&gt;=30,"Research Only","Do Not Use"))))</x:f>
        <x:v>Research Only</x:v>
      </x:c>
      <x:c r="V7" s="14" t="str">
        <x:f>IF(OR(A7="CRDO",A7="LITE"),"P0",IF(OR(A7="NVDA",A7="IREN",A7="HOOD"),"P1","P2"))</x:f>
        <x:v>P0</x:v>
      </x:c>
      <x:c r="W7" s="14" t="str">
        <x:v>AMOS/User</x:v>
      </x:c>
      <x:c r="X7" s="14" t="str">
        <x:v>2026-05-24</x:v>
      </x:c>
      <x:c r="Y7" s="14" t="str">
        <x:v>If actual chart does not show a market-recognized extreme/gap/event pivot on this date/price.</x:v>
      </x:c>
      <x:c r="Z7" s="14" t="str"/>
    </x:row>
    <x:row r="8">
      <x:c r="A8" s="14" t="str">
        <x:v>IREN</x:v>
      </x:c>
      <x:c r="B8" s="14" t="str">
        <x:v>amos_iren_gann_engine_v0_1.json</x:v>
      </x:c>
      <x:c r="C8" s="14" t="str">
        <x:v>AMOS IREN Gann Engine v0.1</x:v>
      </x:c>
      <x:c r="D8" s="14" t="str">
        <x:v>iren_sample_major_low_2025_04_07</x:v>
      </x:c>
      <x:c r="E8" s="14" t="str">
        <x:v>sample_major_low</x:v>
      </x:c>
      <x:c r="F8" s="14" t="str">
        <x:v>2025-04-07</x:v>
      </x:c>
      <x:c r="G8" s="14" t="n">
        <x:v>5.13</x:v>
      </x:c>
      <x:c r="H8" s="14" t="n">
        <x:v>68</x:v>
      </x:c>
      <x:c r="I8" s="14" t="str">
        <x:v>BTC / miner / AI compute</x:v>
      </x:c>
      <x:c r="J8" s="14" t="str">
        <x:v>Sample only: BTC/miner panic low placeholder</x:v>
      </x:c>
      <x:c r="K8" s="14" t="str">
        <x:v>Unverified</x:v>
      </x:c>
      <x:c r="L8" s="14" t="str"/>
      <x:c r="M8" s="14" t="str"/>
      <x:c r="N8" s="14" t="str"/>
      <x:c r="O8" s="14" t="str">
        <x:v>Unknown</x:v>
      </x:c>
      <x:c r="P8" s="14" t="str">
        <x:v>Unknown</x:v>
      </x:c>
      <x:c r="Q8" s="14" t="str">
        <x:v>Unknown</x:v>
      </x:c>
      <x:c r="R8" s="14" t="str">
        <x:v>Unknown</x:v>
      </x:c>
      <x:c r="S8" s="14" t="str">
        <x:v>Unknown</x:v>
      </x:c>
      <x:c r="T8" s="14" t="n">
        <x:f>IF(K8="Verified",ROUND(H8*0.30+IF(O8="Yes",18,0)+IF(P8="Yes",14,0)+IF(Q8="Yes",14,0)+IF(R8="No",12,0)+IF(S8="Yes",12,0),0),IF(K8="Candidate",MIN(60,H8),IF(K8="Rejected",0,MIN(40,H8))))</x:f>
        <x:v>40</x:v>
      </x:c>
      <x:c r="U8" s="14" t="str">
        <x:f>IF(T8&gt;=80,"Can Use",IF(T8&gt;=65,"Can Use With Confirmation",IF(T8&gt;=50,"Watch Only",IF(T8&gt;=30,"Research Only","Do Not Use"))))</x:f>
        <x:v>Research Only</x:v>
      </x:c>
      <x:c r="V8" s="14" t="str">
        <x:f>IF(OR(A8="CRDO",A8="LITE"),"P0",IF(OR(A8="NVDA",A8="IREN",A8="HOOD"),"P1","P2"))</x:f>
        <x:v>P1</x:v>
      </x:c>
      <x:c r="W8" s="14" t="str">
        <x:v>AMOS/User</x:v>
      </x:c>
      <x:c r="X8" s="14" t="str">
        <x:v>2026-05-24</x:v>
      </x:c>
      <x:c r="Y8" s="14" t="str">
        <x:v>If actual chart does not show a market-recognized extreme/gap/event pivot on this date/price.</x:v>
      </x:c>
      <x:c r="Z8" s="14" t="str"/>
    </x:row>
    <x:row r="9">
      <x:c r="A9" s="14" t="str">
        <x:v>IREN</x:v>
      </x:c>
      <x:c r="B9" s="14" t="str">
        <x:v>amos_iren_gann_engine_v0_1.json</x:v>
      </x:c>
      <x:c r="C9" s="14" t="str">
        <x:v>AMOS IREN Gann Engine v0.1</x:v>
      </x:c>
      <x:c r="D9" s="14" t="str">
        <x:v>iren_sample_ai_compute_reprice_2025_11_10</x:v>
      </x:c>
      <x:c r="E9" s="14" t="str">
        <x:v>sample_ai_compute_reprice</x:v>
      </x:c>
      <x:c r="F9" s="14" t="str">
        <x:v>2025-11-10</x:v>
      </x:c>
      <x:c r="G9" s="14" t="n">
        <x:v>9.86</x:v>
      </x:c>
      <x:c r="H9" s="14" t="n">
        <x:v>64</x:v>
      </x:c>
      <x:c r="I9" s="14" t="str">
        <x:v>BTC / miner / AI compute</x:v>
      </x:c>
      <x:c r="J9" s="14" t="str">
        <x:v>Sample only: AI compute / data center narrative repricing placeholder</x:v>
      </x:c>
      <x:c r="K9" s="14" t="str">
        <x:v>Unverified</x:v>
      </x:c>
      <x:c r="L9" s="14" t="str"/>
      <x:c r="M9" s="14" t="str"/>
      <x:c r="N9" s="14" t="str"/>
      <x:c r="O9" s="14" t="str">
        <x:v>Unknown</x:v>
      </x:c>
      <x:c r="P9" s="14" t="str">
        <x:v>Unknown</x:v>
      </x:c>
      <x:c r="Q9" s="14" t="str">
        <x:v>Unknown</x:v>
      </x:c>
      <x:c r="R9" s="14" t="str">
        <x:v>Unknown</x:v>
      </x:c>
      <x:c r="S9" s="14" t="str">
        <x:v>Unknown</x:v>
      </x:c>
      <x:c r="T9" s="14" t="n">
        <x:f>IF(K9="Verified",ROUND(H9*0.30+IF(O9="Yes",18,0)+IF(P9="Yes",14,0)+IF(Q9="Yes",14,0)+IF(R9="No",12,0)+IF(S9="Yes",12,0),0),IF(K9="Candidate",MIN(60,H9),IF(K9="Rejected",0,MIN(40,H9))))</x:f>
        <x:v>40</x:v>
      </x:c>
      <x:c r="U9" s="14" t="str">
        <x:f>IF(T9&gt;=80,"Can Use",IF(T9&gt;=65,"Can Use With Confirmation",IF(T9&gt;=50,"Watch Only",IF(T9&gt;=30,"Research Only","Do Not Use"))))</x:f>
        <x:v>Research Only</x:v>
      </x:c>
      <x:c r="V9" s="14" t="str">
        <x:f>IF(OR(A9="CRDO",A9="LITE"),"P0",IF(OR(A9="NVDA",A9="IREN",A9="HOOD"),"P1","P2"))</x:f>
        <x:v>P1</x:v>
      </x:c>
      <x:c r="W9" s="14" t="str">
        <x:v>AMOS/User</x:v>
      </x:c>
      <x:c r="X9" s="14" t="str">
        <x:v>2026-05-24</x:v>
      </x:c>
      <x:c r="Y9" s="14" t="str">
        <x:v>If actual chart does not show a market-recognized extreme/gap/event pivot on this date/price.</x:v>
      </x:c>
      <x:c r="Z9" s="14" t="str"/>
    </x:row>
    <x:row r="10">
      <x:c r="A10" s="14" t="str">
        <x:v>IREN</x:v>
      </x:c>
      <x:c r="B10" s="14" t="str">
        <x:v>amos_iren_gann_engine_v0_1.json</x:v>
      </x:c>
      <x:c r="C10" s="14" t="str">
        <x:v>AMOS IREN Gann Engine v0.1</x:v>
      </x:c>
      <x:c r="D10" s="14" t="str">
        <x:v>iren_sample_swing_high_2026_02_20</x:v>
      </x:c>
      <x:c r="E10" s="14" t="str">
        <x:v>sample_swing_high</x:v>
      </x:c>
      <x:c r="F10" s="14" t="str">
        <x:v>2026-02-20</x:v>
      </x:c>
      <x:c r="G10" s="14" t="n">
        <x:v>16.95</x:v>
      </x:c>
      <x:c r="H10" s="14" t="n">
        <x:v>70</x:v>
      </x:c>
      <x:c r="I10" s="14" t="str">
        <x:v>BTC / miner / AI compute</x:v>
      </x:c>
      <x:c r="J10" s="14" t="str">
        <x:v>Sample only: swing high / high-beta exhaustion placeholder</x:v>
      </x:c>
      <x:c r="K10" s="14" t="str">
        <x:v>Unverified</x:v>
      </x:c>
      <x:c r="L10" s="14" t="str"/>
      <x:c r="M10" s="14" t="str"/>
      <x:c r="N10" s="14" t="str"/>
      <x:c r="O10" s="14" t="str">
        <x:v>Unknown</x:v>
      </x:c>
      <x:c r="P10" s="14" t="str">
        <x:v>Unknown</x:v>
      </x:c>
      <x:c r="Q10" s="14" t="str">
        <x:v>Unknown</x:v>
      </x:c>
      <x:c r="R10" s="14" t="str">
        <x:v>Unknown</x:v>
      </x:c>
      <x:c r="S10" s="14" t="str">
        <x:v>Unknown</x:v>
      </x:c>
      <x:c r="T10" s="14" t="n">
        <x:f>IF(K10="Verified",ROUND(H10*0.30+IF(O10="Yes",18,0)+IF(P10="Yes",14,0)+IF(Q10="Yes",14,0)+IF(R10="No",12,0)+IF(S10="Yes",12,0),0),IF(K10="Candidate",MIN(60,H10),IF(K10="Rejected",0,MIN(40,H10))))</x:f>
        <x:v>40</x:v>
      </x:c>
      <x:c r="U10" s="14" t="str">
        <x:f>IF(T10&gt;=80,"Can Use",IF(T10&gt;=65,"Can Use With Confirmation",IF(T10&gt;=50,"Watch Only",IF(T10&gt;=30,"Research Only","Do Not Use"))))</x:f>
        <x:v>Research Only</x:v>
      </x:c>
      <x:c r="V10" s="14" t="str">
        <x:f>IF(OR(A10="CRDO",A10="LITE"),"P0",IF(OR(A10="NVDA",A10="IREN",A10="HOOD"),"P1","P2"))</x:f>
        <x:v>P1</x:v>
      </x:c>
      <x:c r="W10" s="14" t="str">
        <x:v>AMOS/User</x:v>
      </x:c>
      <x:c r="X10" s="14" t="str">
        <x:v>2026-05-24</x:v>
      </x:c>
      <x:c r="Y10" s="14" t="str">
        <x:v>If actual chart does not show a market-recognized extreme/gap/event pivot on this date/price.</x:v>
      </x:c>
      <x:c r="Z10" s="14" t="str"/>
    </x:row>
    <x:row r="11">
      <x:c r="A11" s="14" t="str">
        <x:v>HOOD</x:v>
      </x:c>
      <x:c r="B11" s="14" t="str">
        <x:v>amos_hood_gann_engine_v0_1.json</x:v>
      </x:c>
      <x:c r="C11" s="14" t="str">
        <x:v>AMOS HOOD Gann Engine v0.1</x:v>
      </x:c>
      <x:c r="D11" s="14" t="str">
        <x:v>hood_sample_major_low_2025_04_07</x:v>
      </x:c>
      <x:c r="E11" s="14" t="str">
        <x:v>sample_major_low</x:v>
      </x:c>
      <x:c r="F11" s="14" t="str">
        <x:v>2025-04-07</x:v>
      </x:c>
      <x:c r="G11" s="14" t="n">
        <x:v>33.18</x:v>
      </x:c>
      <x:c r="H11" s="14" t="n">
        <x:v>68</x:v>
      </x:c>
      <x:c r="I11" s="14" t="str">
        <x:v>BTC / fintech / trading activity</x:v>
      </x:c>
      <x:c r="J11" s="14" t="str">
        <x:v>Sample only: market-wide panic / fintech reset placeholder</x:v>
      </x:c>
      <x:c r="K11" s="14" t="str">
        <x:v>Unverified</x:v>
      </x:c>
      <x:c r="L11" s="14" t="str"/>
      <x:c r="M11" s="14" t="str"/>
      <x:c r="N11" s="14" t="str"/>
      <x:c r="O11" s="14" t="str">
        <x:v>Unknown</x:v>
      </x:c>
      <x:c r="P11" s="14" t="str">
        <x:v>Unknown</x:v>
      </x:c>
      <x:c r="Q11" s="14" t="str">
        <x:v>Unknown</x:v>
      </x:c>
      <x:c r="R11" s="14" t="str">
        <x:v>Unknown</x:v>
      </x:c>
      <x:c r="S11" s="14" t="str">
        <x:v>Unknown</x:v>
      </x:c>
      <x:c r="T11" s="14" t="n">
        <x:f>IF(K11="Verified",ROUND(H11*0.30+IF(O11="Yes",18,0)+IF(P11="Yes",14,0)+IF(Q11="Yes",14,0)+IF(R11="No",12,0)+IF(S11="Yes",12,0),0),IF(K11="Candidate",MIN(60,H11),IF(K11="Rejected",0,MIN(40,H11))))</x:f>
        <x:v>40</x:v>
      </x:c>
      <x:c r="U11" s="14" t="str">
        <x:f>IF(T11&gt;=80,"Can Use",IF(T11&gt;=65,"Can Use With Confirmation",IF(T11&gt;=50,"Watch Only",IF(T11&gt;=30,"Research Only","Do Not Use"))))</x:f>
        <x:v>Research Only</x:v>
      </x:c>
      <x:c r="V11" s="14" t="str">
        <x:f>IF(OR(A11="CRDO",A11="LITE"),"P0",IF(OR(A11="NVDA",A11="IREN",A11="HOOD"),"P1","P2"))</x:f>
        <x:v>P1</x:v>
      </x:c>
      <x:c r="W11" s="14" t="str">
        <x:v>AMOS/User</x:v>
      </x:c>
      <x:c r="X11" s="14" t="str">
        <x:v>2026-05-24</x:v>
      </x:c>
      <x:c r="Y11" s="14" t="str">
        <x:v>If actual chart does not show a market-recognized extreme/gap/event pivot on this date/price.</x:v>
      </x:c>
      <x:c r="Z11" s="14" t="str"/>
    </x:row>
    <x:row r="12">
      <x:c r="A12" s="14" t="str">
        <x:v>HOOD</x:v>
      </x:c>
      <x:c r="B12" s="14" t="str">
        <x:v>amos_hood_gann_engine_v0_1.json</x:v>
      </x:c>
      <x:c r="C12" s="14" t="str">
        <x:v>AMOS HOOD Gann Engine v0.1</x:v>
      </x:c>
      <x:c r="D12" s="14" t="str">
        <x:v>hood_sample_btc_fintech_reprice_2025_11_12</x:v>
      </x:c>
      <x:c r="E12" s="14" t="str">
        <x:v>sample_btc_fintech_reprice</x:v>
      </x:c>
      <x:c r="F12" s="14" t="str">
        <x:v>2025-11-12</x:v>
      </x:c>
      <x:c r="G12" s="14" t="n">
        <x:v>58.4</x:v>
      </x:c>
      <x:c r="H12" s="14" t="n">
        <x:v>65</x:v>
      </x:c>
      <x:c r="I12" s="14" t="str">
        <x:v>BTC / fintech / trading activity</x:v>
      </x:c>
      <x:c r="J12" s="14" t="str">
        <x:v>Sample only: BTC/fintech activity repricing placeholder</x:v>
      </x:c>
      <x:c r="K12" s="14" t="str">
        <x:v>Unverified</x:v>
      </x:c>
      <x:c r="L12" s="14" t="str"/>
      <x:c r="M12" s="14" t="str"/>
      <x:c r="N12" s="14" t="str"/>
      <x:c r="O12" s="14" t="str">
        <x:v>Unknown</x:v>
      </x:c>
      <x:c r="P12" s="14" t="str">
        <x:v>Unknown</x:v>
      </x:c>
      <x:c r="Q12" s="14" t="str">
        <x:v>Unknown</x:v>
      </x:c>
      <x:c r="R12" s="14" t="str">
        <x:v>Unknown</x:v>
      </x:c>
      <x:c r="S12" s="14" t="str">
        <x:v>Unknown</x:v>
      </x:c>
      <x:c r="T12" s="14" t="n">
        <x:f>IF(K12="Verified",ROUND(H12*0.30+IF(O12="Yes",18,0)+IF(P12="Yes",14,0)+IF(Q12="Yes",14,0)+IF(R12="No",12,0)+IF(S12="Yes",12,0),0),IF(K12="Candidate",MIN(60,H12),IF(K12="Rejected",0,MIN(40,H12))))</x:f>
        <x:v>40</x:v>
      </x:c>
      <x:c r="U12" s="14" t="str">
        <x:f>IF(T12&gt;=80,"Can Use",IF(T12&gt;=65,"Can Use With Confirmation",IF(T12&gt;=50,"Watch Only",IF(T12&gt;=30,"Research Only","Do Not Use"))))</x:f>
        <x:v>Research Only</x:v>
      </x:c>
      <x:c r="V12" s="14" t="str">
        <x:f>IF(OR(A12="CRDO",A12="LITE"),"P0",IF(OR(A12="NVDA",A12="IREN",A12="HOOD"),"P1","P2"))</x:f>
        <x:v>P1</x:v>
      </x:c>
      <x:c r="W12" s="14" t="str">
        <x:v>AMOS/User</x:v>
      </x:c>
      <x:c r="X12" s="14" t="str">
        <x:v>2026-05-24</x:v>
      </x:c>
      <x:c r="Y12" s="14" t="str">
        <x:v>If actual chart does not show a market-recognized extreme/gap/event pivot on this date/price.</x:v>
      </x:c>
      <x:c r="Z12" s="14" t="str"/>
    </x:row>
    <x:row r="13">
      <x:c r="A13" s="14" t="str">
        <x:v>HOOD</x:v>
      </x:c>
      <x:c r="B13" s="14" t="str">
        <x:v>amos_hood_gann_engine_v0_1.json</x:v>
      </x:c>
      <x:c r="C13" s="14" t="str">
        <x:v>AMOS HOOD Gann Engine v0.1</x:v>
      </x:c>
      <x:c r="D13" s="14" t="str">
        <x:v>hood_sample_swing_high_2026_02_18</x:v>
      </x:c>
      <x:c r="E13" s="14" t="str">
        <x:v>sample_swing_high</x:v>
      </x:c>
      <x:c r="F13" s="14" t="str">
        <x:v>2026-02-18</x:v>
      </x:c>
      <x:c r="G13" s="14" t="n">
        <x:v>86.75</x:v>
      </x:c>
      <x:c r="H13" s="14" t="n">
        <x:v>70</x:v>
      </x:c>
      <x:c r="I13" s="14" t="str">
        <x:v>BTC / fintech / trading activity</x:v>
      </x:c>
      <x:c r="J13" s="14" t="str">
        <x:v>Sample only: swing high / retail activity exhaustion placeholder</x:v>
      </x:c>
      <x:c r="K13" s="14" t="str">
        <x:v>Unverified</x:v>
      </x:c>
      <x:c r="L13" s="14" t="str"/>
      <x:c r="M13" s="14" t="str"/>
      <x:c r="N13" s="14" t="str"/>
      <x:c r="O13" s="14" t="str">
        <x:v>Unknown</x:v>
      </x:c>
      <x:c r="P13" s="14" t="str">
        <x:v>Unknown</x:v>
      </x:c>
      <x:c r="Q13" s="14" t="str">
        <x:v>Unknown</x:v>
      </x:c>
      <x:c r="R13" s="14" t="str">
        <x:v>Unknown</x:v>
      </x:c>
      <x:c r="S13" s="14" t="str">
        <x:v>Unknown</x:v>
      </x:c>
      <x:c r="T13" s="14" t="n">
        <x:f>IF(K13="Verified",ROUND(H13*0.30+IF(O13="Yes",18,0)+IF(P13="Yes",14,0)+IF(Q13="Yes",14,0)+IF(R13="No",12,0)+IF(S13="Yes",12,0),0),IF(K13="Candidate",MIN(60,H13),IF(K13="Rejected",0,MIN(40,H13))))</x:f>
        <x:v>40</x:v>
      </x:c>
      <x:c r="U13" s="14" t="str">
        <x:f>IF(T13&gt;=80,"Can Use",IF(T13&gt;=65,"Can Use With Confirmation",IF(T13&gt;=50,"Watch Only",IF(T13&gt;=30,"Research Only","Do Not Use"))))</x:f>
        <x:v>Research Only</x:v>
      </x:c>
      <x:c r="V13" s="14" t="str">
        <x:f>IF(OR(A13="CRDO",A13="LITE"),"P0",IF(OR(A13="NVDA",A13="IREN",A13="HOOD"),"P1","P2"))</x:f>
        <x:v>P1</x:v>
      </x:c>
      <x:c r="W13" s="14" t="str">
        <x:v>AMOS/User</x:v>
      </x:c>
      <x:c r="X13" s="14" t="str">
        <x:v>2026-05-24</x:v>
      </x:c>
      <x:c r="Y13" s="14" t="str">
        <x:v>If actual chart does not show a market-recognized extreme/gap/event pivot on this date/price.</x:v>
      </x:c>
      <x:c r="Z13" s="14" t="str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 t="n">
        <x:f>IF(K14="Verified",ROUND(H14*0.30+IF(O14="Yes",18,0)+IF(P14="Yes",14,0)+IF(Q14="Yes",14,0)+IF(R14="No",12,0)+IF(S14="Yes",12,0),0),IF(K14="Candidate",MIN(60,H14),IF(K14="Rejected",0,MIN(40,H14))))</x:f>
        <x:v>40</x:v>
      </x:c>
      <x:c r="U14" s="14" t="str">
        <x:f>IF(T14&gt;=80,"Can Use",IF(T14&gt;=65,"Can Use With Confirmation",IF(T14&gt;=50,"Watch Only",IF(T14&gt;=30,"Research Only","Do Not Use"))))</x:f>
        <x:v>Research Only</x:v>
      </x:c>
      <x:c r="V14" s="14" t="str">
        <x:f>IF(OR(A14="CRDO",A14="LITE"),"P0",IF(OR(A14="NVDA",A14="IREN",A14="HOOD"),"P1","P2"))</x:f>
        <x:v>P2</x:v>
      </x:c>
      <x:c r="W14" s="14"/>
      <x:c r="X14" s="14"/>
      <x:c r="Y14" s="14"/>
      <x:c r="Z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 t="n">
        <x:f>IF(K15="Verified",ROUND(H15*0.30+IF(O15="Yes",18,0)+IF(P15="Yes",14,0)+IF(Q15="Yes",14,0)+IF(R15="No",12,0)+IF(S15="Yes",12,0),0),IF(K15="Candidate",MIN(60,H15),IF(K15="Rejected",0,MIN(40,H15))))</x:f>
        <x:v>40</x:v>
      </x:c>
      <x:c r="U15" s="14" t="str">
        <x:f>IF(T15&gt;=80,"Can Use",IF(T15&gt;=65,"Can Use With Confirmation",IF(T15&gt;=50,"Watch Only",IF(T15&gt;=30,"Research Only","Do Not Use"))))</x:f>
        <x:v>Research Only</x:v>
      </x:c>
      <x:c r="V15" s="14" t="str">
        <x:f>IF(OR(A15="CRDO",A15="LITE"),"P0",IF(OR(A15="NVDA",A15="IREN",A15="HOOD"),"P1","P2"))</x:f>
        <x:v>P2</x:v>
      </x:c>
      <x:c r="W15" s="14"/>
      <x:c r="X15" s="14"/>
      <x:c r="Y15" s="14"/>
      <x:c r="Z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 t="n">
        <x:f>IF(K16="Verified",ROUND(H16*0.30+IF(O16="Yes",18,0)+IF(P16="Yes",14,0)+IF(Q16="Yes",14,0)+IF(R16="No",12,0)+IF(S16="Yes",12,0),0),IF(K16="Candidate",MIN(60,H16),IF(K16="Rejected",0,MIN(40,H16))))</x:f>
        <x:v>40</x:v>
      </x:c>
      <x:c r="U16" s="14" t="str">
        <x:f>IF(T16&gt;=80,"Can Use",IF(T16&gt;=65,"Can Use With Confirmation",IF(T16&gt;=50,"Watch Only",IF(T16&gt;=30,"Research Only","Do Not Use"))))</x:f>
        <x:v>Research Only</x:v>
      </x:c>
      <x:c r="V16" s="14" t="str">
        <x:f>IF(OR(A16="CRDO",A16="LITE"),"P0",IF(OR(A16="NVDA",A16="IREN",A16="HOOD"),"P1","P2"))</x:f>
        <x:v>P2</x:v>
      </x:c>
      <x:c r="W16" s="14"/>
      <x:c r="X16" s="14"/>
      <x:c r="Y16" s="14"/>
      <x:c r="Z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 t="n">
        <x:f>IF(K17="Verified",ROUND(H17*0.30+IF(O17="Yes",18,0)+IF(P17="Yes",14,0)+IF(Q17="Yes",14,0)+IF(R17="No",12,0)+IF(S17="Yes",12,0),0),IF(K17="Candidate",MIN(60,H17),IF(K17="Rejected",0,MIN(40,H17))))</x:f>
        <x:v>40</x:v>
      </x:c>
      <x:c r="U17" s="14" t="str">
        <x:f>IF(T17&gt;=80,"Can Use",IF(T17&gt;=65,"Can Use With Confirmation",IF(T17&gt;=50,"Watch Only",IF(T17&gt;=30,"Research Only","Do Not Use"))))</x:f>
        <x:v>Research Only</x:v>
      </x:c>
      <x:c r="V17" s="14" t="str">
        <x:f>IF(OR(A17="CRDO",A17="LITE"),"P0",IF(OR(A17="NVDA",A17="IREN",A17="HOOD"),"P1","P2"))</x:f>
        <x:v>P2</x:v>
      </x:c>
      <x:c r="W17" s="14"/>
      <x:c r="X17" s="14"/>
      <x:c r="Y17" s="14"/>
      <x:c r="Z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 t="n">
        <x:f>IF(K18="Verified",ROUND(H18*0.30+IF(O18="Yes",18,0)+IF(P18="Yes",14,0)+IF(Q18="Yes",14,0)+IF(R18="No",12,0)+IF(S18="Yes",12,0),0),IF(K18="Candidate",MIN(60,H18),IF(K18="Rejected",0,MIN(40,H18))))</x:f>
        <x:v>40</x:v>
      </x:c>
      <x:c r="U18" s="14" t="str">
        <x:f>IF(T18&gt;=80,"Can Use",IF(T18&gt;=65,"Can Use With Confirmation",IF(T18&gt;=50,"Watch Only",IF(T18&gt;=30,"Research Only","Do Not Use"))))</x:f>
        <x:v>Research Only</x:v>
      </x:c>
      <x:c r="V18" s="14" t="str">
        <x:f>IF(OR(A18="CRDO",A18="LITE"),"P0",IF(OR(A18="NVDA",A18="IREN",A18="HOOD"),"P1","P2"))</x:f>
        <x:v>P2</x:v>
      </x:c>
      <x:c r="W18" s="14"/>
      <x:c r="X18" s="14"/>
      <x:c r="Y18" s="14"/>
      <x:c r="Z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 t="n">
        <x:f>IF(K19="Verified",ROUND(H19*0.30+IF(O19="Yes",18,0)+IF(P19="Yes",14,0)+IF(Q19="Yes",14,0)+IF(R19="No",12,0)+IF(S19="Yes",12,0),0),IF(K19="Candidate",MIN(60,H19),IF(K19="Rejected",0,MIN(40,H19))))</x:f>
        <x:v>40</x:v>
      </x:c>
      <x:c r="U19" s="14" t="str">
        <x:f>IF(T19&gt;=80,"Can Use",IF(T19&gt;=65,"Can Use With Confirmation",IF(T19&gt;=50,"Watch Only",IF(T19&gt;=30,"Research Only","Do Not Use"))))</x:f>
        <x:v>Research Only</x:v>
      </x:c>
      <x:c r="V19" s="14" t="str">
        <x:f>IF(OR(A19="CRDO",A19="LITE"),"P0",IF(OR(A19="NVDA",A19="IREN",A19="HOOD"),"P1","P2"))</x:f>
        <x:v>P2</x:v>
      </x:c>
      <x:c r="W19" s="14"/>
      <x:c r="X19" s="14"/>
      <x:c r="Y19" s="14"/>
      <x:c r="Z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 t="n">
        <x:f>IF(K20="Verified",ROUND(H20*0.30+IF(O20="Yes",18,0)+IF(P20="Yes",14,0)+IF(Q20="Yes",14,0)+IF(R20="No",12,0)+IF(S20="Yes",12,0),0),IF(K20="Candidate",MIN(60,H20),IF(K20="Rejected",0,MIN(40,H20))))</x:f>
        <x:v>40</x:v>
      </x:c>
      <x:c r="U20" s="14" t="str">
        <x:f>IF(T20&gt;=80,"Can Use",IF(T20&gt;=65,"Can Use With Confirmation",IF(T20&gt;=50,"Watch Only",IF(T20&gt;=30,"Research Only","Do Not Use"))))</x:f>
        <x:v>Research Only</x:v>
      </x:c>
      <x:c r="V20" s="14" t="str">
        <x:f>IF(OR(A20="CRDO",A20="LITE"),"P0",IF(OR(A20="NVDA",A20="IREN",A20="HOOD"),"P1","P2"))</x:f>
        <x:v>P2</x:v>
      </x:c>
      <x:c r="W20" s="14"/>
      <x:c r="X20" s="14"/>
      <x:c r="Y20" s="14"/>
      <x:c r="Z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 t="n">
        <x:f>IF(K21="Verified",ROUND(H21*0.30+IF(O21="Yes",18,0)+IF(P21="Yes",14,0)+IF(Q21="Yes",14,0)+IF(R21="No",12,0)+IF(S21="Yes",12,0),0),IF(K21="Candidate",MIN(60,H21),IF(K21="Rejected",0,MIN(40,H21))))</x:f>
        <x:v>40</x:v>
      </x:c>
      <x:c r="U21" s="14" t="str">
        <x:f>IF(T21&gt;=80,"Can Use",IF(T21&gt;=65,"Can Use With Confirmation",IF(T21&gt;=50,"Watch Only",IF(T21&gt;=30,"Research Only","Do Not Use"))))</x:f>
        <x:v>Research Only</x:v>
      </x:c>
      <x:c r="V21" s="14" t="str">
        <x:f>IF(OR(A21="CRDO",A21="LITE"),"P0",IF(OR(A21="NVDA",A21="IREN",A21="HOOD"),"P1","P2"))</x:f>
        <x:v>P2</x:v>
      </x:c>
      <x:c r="W21" s="14"/>
      <x:c r="X21" s="14"/>
      <x:c r="Y21" s="14"/>
      <x:c r="Z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 t="n">
        <x:f>IF(K22="Verified",ROUND(H22*0.30+IF(O22="Yes",18,0)+IF(P22="Yes",14,0)+IF(Q22="Yes",14,0)+IF(R22="No",12,0)+IF(S22="Yes",12,0),0),IF(K22="Candidate",MIN(60,H22),IF(K22="Rejected",0,MIN(40,H22))))</x:f>
        <x:v>40</x:v>
      </x:c>
      <x:c r="U22" s="14" t="str">
        <x:f>IF(T22&gt;=80,"Can Use",IF(T22&gt;=65,"Can Use With Confirmation",IF(T22&gt;=50,"Watch Only",IF(T22&gt;=30,"Research Only","Do Not Use"))))</x:f>
        <x:v>Research Only</x:v>
      </x:c>
      <x:c r="V22" s="14" t="str">
        <x:f>IF(OR(A22="CRDO",A22="LITE"),"P0",IF(OR(A22="NVDA",A22="IREN",A22="HOOD"),"P1","P2"))</x:f>
        <x:v>P2</x:v>
      </x:c>
      <x:c r="W22" s="14"/>
      <x:c r="X22" s="14"/>
      <x:c r="Y22" s="14"/>
      <x:c r="Z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 t="n">
        <x:f>IF(K23="Verified",ROUND(H23*0.30+IF(O23="Yes",18,0)+IF(P23="Yes",14,0)+IF(Q23="Yes",14,0)+IF(R23="No",12,0)+IF(S23="Yes",12,0),0),IF(K23="Candidate",MIN(60,H23),IF(K23="Rejected",0,MIN(40,H23))))</x:f>
        <x:v>40</x:v>
      </x:c>
      <x:c r="U23" s="14" t="str">
        <x:f>IF(T23&gt;=80,"Can Use",IF(T23&gt;=65,"Can Use With Confirmation",IF(T23&gt;=50,"Watch Only",IF(T23&gt;=30,"Research Only","Do Not Use"))))</x:f>
        <x:v>Research Only</x:v>
      </x:c>
      <x:c r="V23" s="14" t="str">
        <x:f>IF(OR(A23="CRDO",A23="LITE"),"P0",IF(OR(A23="NVDA",A23="IREN",A23="HOOD"),"P1","P2"))</x:f>
        <x:v>P2</x:v>
      </x:c>
      <x:c r="W23" s="14"/>
      <x:c r="X23" s="14"/>
      <x:c r="Y23" s="14"/>
      <x:c r="Z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 t="n">
        <x:f>IF(K24="Verified",ROUND(H24*0.30+IF(O24="Yes",18,0)+IF(P24="Yes",14,0)+IF(Q24="Yes",14,0)+IF(R24="No",12,0)+IF(S24="Yes",12,0),0),IF(K24="Candidate",MIN(60,H24),IF(K24="Rejected",0,MIN(40,H24))))</x:f>
        <x:v>40</x:v>
      </x:c>
      <x:c r="U24" s="14" t="str">
        <x:f>IF(T24&gt;=80,"Can Use",IF(T24&gt;=65,"Can Use With Confirmation",IF(T24&gt;=50,"Watch Only",IF(T24&gt;=30,"Research Only","Do Not Use"))))</x:f>
        <x:v>Research Only</x:v>
      </x:c>
      <x:c r="V24" s="14" t="str">
        <x:f>IF(OR(A24="CRDO",A24="LITE"),"P0",IF(OR(A24="NVDA",A24="IREN",A24="HOOD"),"P1","P2"))</x:f>
        <x:v>P2</x:v>
      </x:c>
      <x:c r="W24" s="14"/>
      <x:c r="X24" s="14"/>
      <x:c r="Y24" s="14"/>
      <x:c r="Z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 t="n">
        <x:f>IF(K25="Verified",ROUND(H25*0.30+IF(O25="Yes",18,0)+IF(P25="Yes",14,0)+IF(Q25="Yes",14,0)+IF(R25="No",12,0)+IF(S25="Yes",12,0),0),IF(K25="Candidate",MIN(60,H25),IF(K25="Rejected",0,MIN(40,H25))))</x:f>
        <x:v>40</x:v>
      </x:c>
      <x:c r="U25" s="14" t="str">
        <x:f>IF(T25&gt;=80,"Can Use",IF(T25&gt;=65,"Can Use With Confirmation",IF(T25&gt;=50,"Watch Only",IF(T25&gt;=30,"Research Only","Do Not Use"))))</x:f>
        <x:v>Research Only</x:v>
      </x:c>
      <x:c r="V25" s="14" t="str">
        <x:f>IF(OR(A25="CRDO",A25="LITE"),"P0",IF(OR(A25="NVDA",A25="IREN",A25="HOOD"),"P1","P2"))</x:f>
        <x:v>P2</x:v>
      </x:c>
      <x:c r="W25" s="14"/>
      <x:c r="X25" s="14"/>
      <x:c r="Y25" s="14"/>
      <x:c r="Z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 t="n">
        <x:f>IF(K26="Verified",ROUND(H26*0.30+IF(O26="Yes",18,0)+IF(P26="Yes",14,0)+IF(Q26="Yes",14,0)+IF(R26="No",12,0)+IF(S26="Yes",12,0),0),IF(K26="Candidate",MIN(60,H26),IF(K26="Rejected",0,MIN(40,H26))))</x:f>
        <x:v>40</x:v>
      </x:c>
      <x:c r="U26" s="14" t="str">
        <x:f>IF(T26&gt;=80,"Can Use",IF(T26&gt;=65,"Can Use With Confirmation",IF(T26&gt;=50,"Watch Only",IF(T26&gt;=30,"Research Only","Do Not Use"))))</x:f>
        <x:v>Research Only</x:v>
      </x:c>
      <x:c r="V26" s="14" t="str">
        <x:f>IF(OR(A26="CRDO",A26="LITE"),"P0",IF(OR(A26="NVDA",A26="IREN",A26="HOOD"),"P1","P2"))</x:f>
        <x:v>P2</x:v>
      </x:c>
      <x:c r="W26" s="14"/>
      <x:c r="X26" s="14"/>
      <x:c r="Y26" s="14"/>
      <x:c r="Z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 t="n">
        <x:f>IF(K27="Verified",ROUND(H27*0.30+IF(O27="Yes",18,0)+IF(P27="Yes",14,0)+IF(Q27="Yes",14,0)+IF(R27="No",12,0)+IF(S27="Yes",12,0),0),IF(K27="Candidate",MIN(60,H27),IF(K27="Rejected",0,MIN(40,H27))))</x:f>
        <x:v>40</x:v>
      </x:c>
      <x:c r="U27" s="14" t="str">
        <x:f>IF(T27&gt;=80,"Can Use",IF(T27&gt;=65,"Can Use With Confirmation",IF(T27&gt;=50,"Watch Only",IF(T27&gt;=30,"Research Only","Do Not Use"))))</x:f>
        <x:v>Research Only</x:v>
      </x:c>
      <x:c r="V27" s="14" t="str">
        <x:f>IF(OR(A27="CRDO",A27="LITE"),"P0",IF(OR(A27="NVDA",A27="IREN",A27="HOOD"),"P1","P2"))</x:f>
        <x:v>P2</x:v>
      </x:c>
      <x:c r="W27" s="14"/>
      <x:c r="X27" s="14"/>
      <x:c r="Y27" s="14"/>
      <x:c r="Z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 t="n">
        <x:f>IF(K28="Verified",ROUND(H28*0.30+IF(O28="Yes",18,0)+IF(P28="Yes",14,0)+IF(Q28="Yes",14,0)+IF(R28="No",12,0)+IF(S28="Yes",12,0),0),IF(K28="Candidate",MIN(60,H28),IF(K28="Rejected",0,MIN(40,H28))))</x:f>
        <x:v>40</x:v>
      </x:c>
      <x:c r="U28" s="14" t="str">
        <x:f>IF(T28&gt;=80,"Can Use",IF(T28&gt;=65,"Can Use With Confirmation",IF(T28&gt;=50,"Watch Only",IF(T28&gt;=30,"Research Only","Do Not Use"))))</x:f>
        <x:v>Research Only</x:v>
      </x:c>
      <x:c r="V28" s="14" t="str">
        <x:f>IF(OR(A28="CRDO",A28="LITE"),"P0",IF(OR(A28="NVDA",A28="IREN",A28="HOOD"),"P1","P2"))</x:f>
        <x:v>P2</x:v>
      </x:c>
      <x:c r="W28" s="14"/>
      <x:c r="X28" s="14"/>
      <x:c r="Y28" s="14"/>
      <x:c r="Z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 t="n">
        <x:f>IF(K29="Verified",ROUND(H29*0.30+IF(O29="Yes",18,0)+IF(P29="Yes",14,0)+IF(Q29="Yes",14,0)+IF(R29="No",12,0)+IF(S29="Yes",12,0),0),IF(K29="Candidate",MIN(60,H29),IF(K29="Rejected",0,MIN(40,H29))))</x:f>
        <x:v>40</x:v>
      </x:c>
      <x:c r="U29" s="14" t="str">
        <x:f>IF(T29&gt;=80,"Can Use",IF(T29&gt;=65,"Can Use With Confirmation",IF(T29&gt;=50,"Watch Only",IF(T29&gt;=30,"Research Only","Do Not Use"))))</x:f>
        <x:v>Research Only</x:v>
      </x:c>
      <x:c r="V29" s="14" t="str">
        <x:f>IF(OR(A29="CRDO",A29="LITE"),"P0",IF(OR(A29="NVDA",A29="IREN",A29="HOOD"),"P1","P2"))</x:f>
        <x:v>P2</x:v>
      </x:c>
      <x:c r="W29" s="14"/>
      <x:c r="X29" s="14"/>
      <x:c r="Y29" s="14"/>
      <x:c r="Z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 t="n">
        <x:f>IF(K30="Verified",ROUND(H30*0.30+IF(O30="Yes",18,0)+IF(P30="Yes",14,0)+IF(Q30="Yes",14,0)+IF(R30="No",12,0)+IF(S30="Yes",12,0),0),IF(K30="Candidate",MIN(60,H30),IF(K30="Rejected",0,MIN(40,H30))))</x:f>
        <x:v>40</x:v>
      </x:c>
      <x:c r="U30" s="14" t="str">
        <x:f>IF(T30&gt;=80,"Can Use",IF(T30&gt;=65,"Can Use With Confirmation",IF(T30&gt;=50,"Watch Only",IF(T30&gt;=30,"Research Only","Do Not Use"))))</x:f>
        <x:v>Research Only</x:v>
      </x:c>
      <x:c r="V30" s="14" t="str">
        <x:f>IF(OR(A30="CRDO",A30="LITE"),"P0",IF(OR(A30="NVDA",A30="IREN",A30="HOOD"),"P1","P2"))</x:f>
        <x:v>P2</x:v>
      </x:c>
      <x:c r="W30" s="14"/>
      <x:c r="X30" s="14"/>
      <x:c r="Y30" s="14"/>
      <x:c r="Z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 t="n">
        <x:f>IF(K31="Verified",ROUND(H31*0.30+IF(O31="Yes",18,0)+IF(P31="Yes",14,0)+IF(Q31="Yes",14,0)+IF(R31="No",12,0)+IF(S31="Yes",12,0),0),IF(K31="Candidate",MIN(60,H31),IF(K31="Rejected",0,MIN(40,H31))))</x:f>
        <x:v>40</x:v>
      </x:c>
      <x:c r="U31" s="14" t="str">
        <x:f>IF(T31&gt;=80,"Can Use",IF(T31&gt;=65,"Can Use With Confirmation",IF(T31&gt;=50,"Watch Only",IF(T31&gt;=30,"Research Only","Do Not Use"))))</x:f>
        <x:v>Research Only</x:v>
      </x:c>
      <x:c r="V31" s="14" t="str">
        <x:f>IF(OR(A31="CRDO",A31="LITE"),"P0",IF(OR(A31="NVDA",A31="IREN",A31="HOOD"),"P1","P2"))</x:f>
        <x:v>P2</x:v>
      </x:c>
      <x:c r="W31" s="14"/>
      <x:c r="X31" s="14"/>
      <x:c r="Y31" s="14"/>
      <x:c r="Z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 t="n">
        <x:f>IF(K32="Verified",ROUND(H32*0.30+IF(O32="Yes",18,0)+IF(P32="Yes",14,0)+IF(Q32="Yes",14,0)+IF(R32="No",12,0)+IF(S32="Yes",12,0),0),IF(K32="Candidate",MIN(60,H32),IF(K32="Rejected",0,MIN(40,H32))))</x:f>
        <x:v>40</x:v>
      </x:c>
      <x:c r="U32" s="14" t="str">
        <x:f>IF(T32&gt;=80,"Can Use",IF(T32&gt;=65,"Can Use With Confirmation",IF(T32&gt;=50,"Watch Only",IF(T32&gt;=30,"Research Only","Do Not Use"))))</x:f>
        <x:v>Research Only</x:v>
      </x:c>
      <x:c r="V32" s="14" t="str">
        <x:f>IF(OR(A32="CRDO",A32="LITE"),"P0",IF(OR(A32="NVDA",A32="IREN",A32="HOOD"),"P1","P2"))</x:f>
        <x:v>P2</x:v>
      </x:c>
      <x:c r="W32" s="14"/>
      <x:c r="X32" s="14"/>
      <x:c r="Y32" s="14"/>
      <x:c r="Z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 t="n">
        <x:f>IF(K33="Verified",ROUND(H33*0.30+IF(O33="Yes",18,0)+IF(P33="Yes",14,0)+IF(Q33="Yes",14,0)+IF(R33="No",12,0)+IF(S33="Yes",12,0),0),IF(K33="Candidate",MIN(60,H33),IF(K33="Rejected",0,MIN(40,H33))))</x:f>
        <x:v>40</x:v>
      </x:c>
      <x:c r="U33" s="14" t="str">
        <x:f>IF(T33&gt;=80,"Can Use",IF(T33&gt;=65,"Can Use With Confirmation",IF(T33&gt;=50,"Watch Only",IF(T33&gt;=30,"Research Only","Do Not Use"))))</x:f>
        <x:v>Research Only</x:v>
      </x:c>
      <x:c r="V33" s="14" t="str">
        <x:f>IF(OR(A33="CRDO",A33="LITE"),"P0",IF(OR(A33="NVDA",A33="IREN",A33="HOOD"),"P1","P2"))</x:f>
        <x:v>P2</x:v>
      </x:c>
      <x:c r="W33" s="14"/>
      <x:c r="X33" s="14"/>
      <x:c r="Y33" s="14"/>
      <x:c r="Z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 t="n">
        <x:f>IF(K34="Verified",ROUND(H34*0.30+IF(O34="Yes",18,0)+IF(P34="Yes",14,0)+IF(Q34="Yes",14,0)+IF(R34="No",12,0)+IF(S34="Yes",12,0),0),IF(K34="Candidate",MIN(60,H34),IF(K34="Rejected",0,MIN(40,H34))))</x:f>
        <x:v>40</x:v>
      </x:c>
      <x:c r="U34" s="14" t="str">
        <x:f>IF(T34&gt;=80,"Can Use",IF(T34&gt;=65,"Can Use With Confirmation",IF(T34&gt;=50,"Watch Only",IF(T34&gt;=30,"Research Only","Do Not Use"))))</x:f>
        <x:v>Research Only</x:v>
      </x:c>
      <x:c r="V34" s="14" t="str">
        <x:f>IF(OR(A34="CRDO",A34="LITE"),"P0",IF(OR(A34="NVDA",A34="IREN",A34="HOOD"),"P1","P2"))</x:f>
        <x:v>P2</x:v>
      </x:c>
      <x:c r="W34" s="14"/>
      <x:c r="X34" s="14"/>
      <x:c r="Y34" s="14"/>
      <x:c r="Z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 t="n">
        <x:f>IF(K35="Verified",ROUND(H35*0.30+IF(O35="Yes",18,0)+IF(P35="Yes",14,0)+IF(Q35="Yes",14,0)+IF(R35="No",12,0)+IF(S35="Yes",12,0),0),IF(K35="Candidate",MIN(60,H35),IF(K35="Rejected",0,MIN(40,H35))))</x:f>
        <x:v>40</x:v>
      </x:c>
      <x:c r="U35" s="14" t="str">
        <x:f>IF(T35&gt;=80,"Can Use",IF(T35&gt;=65,"Can Use With Confirmation",IF(T35&gt;=50,"Watch Only",IF(T35&gt;=30,"Research Only","Do Not Use"))))</x:f>
        <x:v>Research Only</x:v>
      </x:c>
      <x:c r="V35" s="14" t="str">
        <x:f>IF(OR(A35="CRDO",A35="LITE"),"P0",IF(OR(A35="NVDA",A35="IREN",A35="HOOD"),"P1","P2"))</x:f>
        <x:v>P2</x:v>
      </x:c>
      <x:c r="W35" s="14"/>
      <x:c r="X35" s="14"/>
      <x:c r="Y35" s="14"/>
      <x:c r="Z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 t="n">
        <x:f>IF(K36="Verified",ROUND(H36*0.30+IF(O36="Yes",18,0)+IF(P36="Yes",14,0)+IF(Q36="Yes",14,0)+IF(R36="No",12,0)+IF(S36="Yes",12,0),0),IF(K36="Candidate",MIN(60,H36),IF(K36="Rejected",0,MIN(40,H36))))</x:f>
        <x:v>40</x:v>
      </x:c>
      <x:c r="U36" s="14" t="str">
        <x:f>IF(T36&gt;=80,"Can Use",IF(T36&gt;=65,"Can Use With Confirmation",IF(T36&gt;=50,"Watch Only",IF(T36&gt;=30,"Research Only","Do Not Use"))))</x:f>
        <x:v>Research Only</x:v>
      </x:c>
      <x:c r="V36" s="14" t="str">
        <x:f>IF(OR(A36="CRDO",A36="LITE"),"P0",IF(OR(A36="NVDA",A36="IREN",A36="HOOD"),"P1","P2"))</x:f>
        <x:v>P2</x:v>
      </x:c>
      <x:c r="W36" s="14"/>
      <x:c r="X36" s="14"/>
      <x:c r="Y36" s="14"/>
      <x:c r="Z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 t="n">
        <x:f>IF(K37="Verified",ROUND(H37*0.30+IF(O37="Yes",18,0)+IF(P37="Yes",14,0)+IF(Q37="Yes",14,0)+IF(R37="No",12,0)+IF(S37="Yes",12,0),0),IF(K37="Candidate",MIN(60,H37),IF(K37="Rejected",0,MIN(40,H37))))</x:f>
        <x:v>40</x:v>
      </x:c>
      <x:c r="U37" s="14" t="str">
        <x:f>IF(T37&gt;=80,"Can Use",IF(T37&gt;=65,"Can Use With Confirmation",IF(T37&gt;=50,"Watch Only",IF(T37&gt;=30,"Research Only","Do Not Use"))))</x:f>
        <x:v>Research Only</x:v>
      </x:c>
      <x:c r="V37" s="14" t="str">
        <x:f>IF(OR(A37="CRDO",A37="LITE"),"P0",IF(OR(A37="NVDA",A37="IREN",A37="HOOD"),"P1","P2"))</x:f>
        <x:v>P2</x:v>
      </x:c>
      <x:c r="W37" s="14"/>
      <x:c r="X37" s="14"/>
      <x:c r="Y37" s="14"/>
      <x:c r="Z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 t="n">
        <x:f>IF(K38="Verified",ROUND(H38*0.30+IF(O38="Yes",18,0)+IF(P38="Yes",14,0)+IF(Q38="Yes",14,0)+IF(R38="No",12,0)+IF(S38="Yes",12,0),0),IF(K38="Candidate",MIN(60,H38),IF(K38="Rejected",0,MIN(40,H38))))</x:f>
        <x:v>40</x:v>
      </x:c>
      <x:c r="U38" s="14" t="str">
        <x:f>IF(T38&gt;=80,"Can Use",IF(T38&gt;=65,"Can Use With Confirmation",IF(T38&gt;=50,"Watch Only",IF(T38&gt;=30,"Research Only","Do Not Use"))))</x:f>
        <x:v>Research Only</x:v>
      </x:c>
      <x:c r="V38" s="14" t="str">
        <x:f>IF(OR(A38="CRDO",A38="LITE"),"P0",IF(OR(A38="NVDA",A38="IREN",A38="HOOD"),"P1","P2"))</x:f>
        <x:v>P2</x:v>
      </x:c>
      <x:c r="W38" s="14"/>
      <x:c r="X38" s="14"/>
      <x:c r="Y38" s="14"/>
      <x:c r="Z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 t="n">
        <x:f>IF(K39="Verified",ROUND(H39*0.30+IF(O39="Yes",18,0)+IF(P39="Yes",14,0)+IF(Q39="Yes",14,0)+IF(R39="No",12,0)+IF(S39="Yes",12,0),0),IF(K39="Candidate",MIN(60,H39),IF(K39="Rejected",0,MIN(40,H39))))</x:f>
        <x:v>40</x:v>
      </x:c>
      <x:c r="U39" s="14" t="str">
        <x:f>IF(T39&gt;=80,"Can Use",IF(T39&gt;=65,"Can Use With Confirmation",IF(T39&gt;=50,"Watch Only",IF(T39&gt;=30,"Research Only","Do Not Use"))))</x:f>
        <x:v>Research Only</x:v>
      </x:c>
      <x:c r="V39" s="14" t="str">
        <x:f>IF(OR(A39="CRDO",A39="LITE"),"P0",IF(OR(A39="NVDA",A39="IREN",A39="HOOD"),"P1","P2"))</x:f>
        <x:v>P2</x:v>
      </x:c>
      <x:c r="W39" s="14"/>
      <x:c r="X39" s="14"/>
      <x:c r="Y39" s="14"/>
      <x:c r="Z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 t="n">
        <x:f>IF(K40="Verified",ROUND(H40*0.30+IF(O40="Yes",18,0)+IF(P40="Yes",14,0)+IF(Q40="Yes",14,0)+IF(R40="No",12,0)+IF(S40="Yes",12,0),0),IF(K40="Candidate",MIN(60,H40),IF(K40="Rejected",0,MIN(40,H40))))</x:f>
        <x:v>40</x:v>
      </x:c>
      <x:c r="U40" s="14" t="str">
        <x:f>IF(T40&gt;=80,"Can Use",IF(T40&gt;=65,"Can Use With Confirmation",IF(T40&gt;=50,"Watch Only",IF(T40&gt;=30,"Research Only","Do Not Use"))))</x:f>
        <x:v>Research Only</x:v>
      </x:c>
      <x:c r="V40" s="14" t="str">
        <x:f>IF(OR(A40="CRDO",A40="LITE"),"P0",IF(OR(A40="NVDA",A40="IREN",A40="HOOD"),"P1","P2"))</x:f>
        <x:v>P2</x:v>
      </x:c>
      <x:c r="W40" s="14"/>
      <x:c r="X40" s="14"/>
      <x:c r="Y40" s="14"/>
      <x:c r="Z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 t="n">
        <x:f>IF(K41="Verified",ROUND(H41*0.30+IF(O41="Yes",18,0)+IF(P41="Yes",14,0)+IF(Q41="Yes",14,0)+IF(R41="No",12,0)+IF(S41="Yes",12,0),0),IF(K41="Candidate",MIN(60,H41),IF(K41="Rejected",0,MIN(40,H41))))</x:f>
        <x:v>40</x:v>
      </x:c>
      <x:c r="U41" s="14" t="str">
        <x:f>IF(T41&gt;=80,"Can Use",IF(T41&gt;=65,"Can Use With Confirmation",IF(T41&gt;=50,"Watch Only",IF(T41&gt;=30,"Research Only","Do Not Use"))))</x:f>
        <x:v>Research Only</x:v>
      </x:c>
      <x:c r="V41" s="14" t="str">
        <x:f>IF(OR(A41="CRDO",A41="LITE"),"P0",IF(OR(A41="NVDA",A41="IREN",A41="HOOD"),"P1","P2"))</x:f>
        <x:v>P2</x:v>
      </x:c>
      <x:c r="W41" s="14"/>
      <x:c r="X41" s="14"/>
      <x:c r="Y41" s="14"/>
      <x:c r="Z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 t="n">
        <x:f>IF(K42="Verified",ROUND(H42*0.30+IF(O42="Yes",18,0)+IF(P42="Yes",14,0)+IF(Q42="Yes",14,0)+IF(R42="No",12,0)+IF(S42="Yes",12,0),0),IF(K42="Candidate",MIN(60,H42),IF(K42="Rejected",0,MIN(40,H42))))</x:f>
        <x:v>40</x:v>
      </x:c>
      <x:c r="U42" s="14" t="str">
        <x:f>IF(T42&gt;=80,"Can Use",IF(T42&gt;=65,"Can Use With Confirmation",IF(T42&gt;=50,"Watch Only",IF(T42&gt;=30,"Research Only","Do Not Use"))))</x:f>
        <x:v>Research Only</x:v>
      </x:c>
      <x:c r="V42" s="14" t="str">
        <x:f>IF(OR(A42="CRDO",A42="LITE"),"P0",IF(OR(A42="NVDA",A42="IREN",A42="HOOD"),"P1","P2"))</x:f>
        <x:v>P2</x:v>
      </x:c>
      <x:c r="W42" s="14"/>
      <x:c r="X42" s="14"/>
      <x:c r="Y42" s="14"/>
      <x:c r="Z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 t="n">
        <x:f>IF(K43="Verified",ROUND(H43*0.30+IF(O43="Yes",18,0)+IF(P43="Yes",14,0)+IF(Q43="Yes",14,0)+IF(R43="No",12,0)+IF(S43="Yes",12,0),0),IF(K43="Candidate",MIN(60,H43),IF(K43="Rejected",0,MIN(40,H43))))</x:f>
        <x:v>40</x:v>
      </x:c>
      <x:c r="U43" s="14" t="str">
        <x:f>IF(T43&gt;=80,"Can Use",IF(T43&gt;=65,"Can Use With Confirmation",IF(T43&gt;=50,"Watch Only",IF(T43&gt;=30,"Research Only","Do Not Use"))))</x:f>
        <x:v>Research Only</x:v>
      </x:c>
      <x:c r="V43" s="14" t="str">
        <x:f>IF(OR(A43="CRDO",A43="LITE"),"P0",IF(OR(A43="NVDA",A43="IREN",A43="HOOD"),"P1","P2"))</x:f>
        <x:v>P2</x:v>
      </x:c>
      <x:c r="W43" s="14"/>
      <x:c r="X43" s="14"/>
      <x:c r="Y43" s="14"/>
      <x:c r="Z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 t="n">
        <x:f>IF(K44="Verified",ROUND(H44*0.30+IF(O44="Yes",18,0)+IF(P44="Yes",14,0)+IF(Q44="Yes",14,0)+IF(R44="No",12,0)+IF(S44="Yes",12,0),0),IF(K44="Candidate",MIN(60,H44),IF(K44="Rejected",0,MIN(40,H44))))</x:f>
        <x:v>40</x:v>
      </x:c>
      <x:c r="U44" s="14" t="str">
        <x:f>IF(T44&gt;=80,"Can Use",IF(T44&gt;=65,"Can Use With Confirmation",IF(T44&gt;=50,"Watch Only",IF(T44&gt;=30,"Research Only","Do Not Use"))))</x:f>
        <x:v>Research Only</x:v>
      </x:c>
      <x:c r="V44" s="14" t="str">
        <x:f>IF(OR(A44="CRDO",A44="LITE"),"P0",IF(OR(A44="NVDA",A44="IREN",A44="HOOD"),"P1","P2"))</x:f>
        <x:v>P2</x:v>
      </x:c>
      <x:c r="W44" s="14"/>
      <x:c r="X44" s="14"/>
      <x:c r="Y44" s="14"/>
      <x:c r="Z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 t="n">
        <x:f>IF(K45="Verified",ROUND(H45*0.30+IF(O45="Yes",18,0)+IF(P45="Yes",14,0)+IF(Q45="Yes",14,0)+IF(R45="No",12,0)+IF(S45="Yes",12,0),0),IF(K45="Candidate",MIN(60,H45),IF(K45="Rejected",0,MIN(40,H45))))</x:f>
        <x:v>40</x:v>
      </x:c>
      <x:c r="U45" s="14" t="str">
        <x:f>IF(T45&gt;=80,"Can Use",IF(T45&gt;=65,"Can Use With Confirmation",IF(T45&gt;=50,"Watch Only",IF(T45&gt;=30,"Research Only","Do Not Use"))))</x:f>
        <x:v>Research Only</x:v>
      </x:c>
      <x:c r="V45" s="14" t="str">
        <x:f>IF(OR(A45="CRDO",A45="LITE"),"P0",IF(OR(A45="NVDA",A45="IREN",A45="HOOD"),"P1","P2"))</x:f>
        <x:v>P2</x:v>
      </x:c>
      <x:c r="W45" s="14"/>
      <x:c r="X45" s="14"/>
      <x:c r="Y45" s="14"/>
      <x:c r="Z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 t="n">
        <x:f>IF(K46="Verified",ROUND(H46*0.30+IF(O46="Yes",18,0)+IF(P46="Yes",14,0)+IF(Q46="Yes",14,0)+IF(R46="No",12,0)+IF(S46="Yes",12,0),0),IF(K46="Candidate",MIN(60,H46),IF(K46="Rejected",0,MIN(40,H46))))</x:f>
        <x:v>40</x:v>
      </x:c>
      <x:c r="U46" s="14" t="str">
        <x:f>IF(T46&gt;=80,"Can Use",IF(T46&gt;=65,"Can Use With Confirmation",IF(T46&gt;=50,"Watch Only",IF(T46&gt;=30,"Research Only","Do Not Use"))))</x:f>
        <x:v>Research Only</x:v>
      </x:c>
      <x:c r="V46" s="14" t="str">
        <x:f>IF(OR(A46="CRDO",A46="LITE"),"P0",IF(OR(A46="NVDA",A46="IREN",A46="HOOD"),"P1","P2"))</x:f>
        <x:v>P2</x:v>
      </x:c>
      <x:c r="W46" s="14"/>
      <x:c r="X46" s="14"/>
      <x:c r="Y46" s="14"/>
      <x:c r="Z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 t="n">
        <x:f>IF(K47="Verified",ROUND(H47*0.30+IF(O47="Yes",18,0)+IF(P47="Yes",14,0)+IF(Q47="Yes",14,0)+IF(R47="No",12,0)+IF(S47="Yes",12,0),0),IF(K47="Candidate",MIN(60,H47),IF(K47="Rejected",0,MIN(40,H47))))</x:f>
        <x:v>40</x:v>
      </x:c>
      <x:c r="U47" s="14" t="str">
        <x:f>IF(T47&gt;=80,"Can Use",IF(T47&gt;=65,"Can Use With Confirmation",IF(T47&gt;=50,"Watch Only",IF(T47&gt;=30,"Research Only","Do Not Use"))))</x:f>
        <x:v>Research Only</x:v>
      </x:c>
      <x:c r="V47" s="14" t="str">
        <x:f>IF(OR(A47="CRDO",A47="LITE"),"P0",IF(OR(A47="NVDA",A47="IREN",A47="HOOD"),"P1","P2"))</x:f>
        <x:v>P2</x:v>
      </x:c>
      <x:c r="W47" s="14"/>
      <x:c r="X47" s="14"/>
      <x:c r="Y47" s="14"/>
      <x:c r="Z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 t="n">
        <x:f>IF(K48="Verified",ROUND(H48*0.30+IF(O48="Yes",18,0)+IF(P48="Yes",14,0)+IF(Q48="Yes",14,0)+IF(R48="No",12,0)+IF(S48="Yes",12,0),0),IF(K48="Candidate",MIN(60,H48),IF(K48="Rejected",0,MIN(40,H48))))</x:f>
        <x:v>40</x:v>
      </x:c>
      <x:c r="U48" s="14" t="str">
        <x:f>IF(T48&gt;=80,"Can Use",IF(T48&gt;=65,"Can Use With Confirmation",IF(T48&gt;=50,"Watch Only",IF(T48&gt;=30,"Research Only","Do Not Use"))))</x:f>
        <x:v>Research Only</x:v>
      </x:c>
      <x:c r="V48" s="14" t="str">
        <x:f>IF(OR(A48="CRDO",A48="LITE"),"P0",IF(OR(A48="NVDA",A48="IREN",A48="HOOD"),"P1","P2"))</x:f>
        <x:v>P2</x:v>
      </x:c>
      <x:c r="W48" s="14"/>
      <x:c r="X48" s="14"/>
      <x:c r="Y48" s="14"/>
      <x:c r="Z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 t="n">
        <x:f>IF(K49="Verified",ROUND(H49*0.30+IF(O49="Yes",18,0)+IF(P49="Yes",14,0)+IF(Q49="Yes",14,0)+IF(R49="No",12,0)+IF(S49="Yes",12,0),0),IF(K49="Candidate",MIN(60,H49),IF(K49="Rejected",0,MIN(40,H49))))</x:f>
        <x:v>40</x:v>
      </x:c>
      <x:c r="U49" s="14" t="str">
        <x:f>IF(T49&gt;=80,"Can Use",IF(T49&gt;=65,"Can Use With Confirmation",IF(T49&gt;=50,"Watch Only",IF(T49&gt;=30,"Research Only","Do Not Use"))))</x:f>
        <x:v>Research Only</x:v>
      </x:c>
      <x:c r="V49" s="14" t="str">
        <x:f>IF(OR(A49="CRDO",A49="LITE"),"P0",IF(OR(A49="NVDA",A49="IREN",A49="HOOD"),"P1","P2"))</x:f>
        <x:v>P2</x:v>
      </x:c>
      <x:c r="W49" s="14"/>
      <x:c r="X49" s="14"/>
      <x:c r="Y49" s="14"/>
      <x:c r="Z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 t="n">
        <x:f>IF(K50="Verified",ROUND(H50*0.30+IF(O50="Yes",18,0)+IF(P50="Yes",14,0)+IF(Q50="Yes",14,0)+IF(R50="No",12,0)+IF(S50="Yes",12,0),0),IF(K50="Candidate",MIN(60,H50),IF(K50="Rejected",0,MIN(40,H50))))</x:f>
        <x:v>40</x:v>
      </x:c>
      <x:c r="U50" s="14" t="str">
        <x:f>IF(T50&gt;=80,"Can Use",IF(T50&gt;=65,"Can Use With Confirmation",IF(T50&gt;=50,"Watch Only",IF(T50&gt;=30,"Research Only","Do Not Use"))))</x:f>
        <x:v>Research Only</x:v>
      </x:c>
      <x:c r="V50" s="14" t="str">
        <x:f>IF(OR(A50="CRDO",A50="LITE"),"P0",IF(OR(A50="NVDA",A50="IREN",A50="HOOD"),"P1","P2"))</x:f>
        <x:v>P2</x:v>
      </x:c>
      <x:c r="W50" s="14"/>
      <x:c r="X50" s="14"/>
      <x:c r="Y50" s="14"/>
      <x:c r="Z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 t="n">
        <x:f>IF(K51="Verified",ROUND(H51*0.30+IF(O51="Yes",18,0)+IF(P51="Yes",14,0)+IF(Q51="Yes",14,0)+IF(R51="No",12,0)+IF(S51="Yes",12,0),0),IF(K51="Candidate",MIN(60,H51),IF(K51="Rejected",0,MIN(40,H51))))</x:f>
        <x:v>40</x:v>
      </x:c>
      <x:c r="U51" s="14" t="str">
        <x:f>IF(T51&gt;=80,"Can Use",IF(T51&gt;=65,"Can Use With Confirmation",IF(T51&gt;=50,"Watch Only",IF(T51&gt;=30,"Research Only","Do Not Use"))))</x:f>
        <x:v>Research Only</x:v>
      </x:c>
      <x:c r="V51" s="14" t="str">
        <x:f>IF(OR(A51="CRDO",A51="LITE"),"P0",IF(OR(A51="NVDA",A51="IREN",A51="HOOD"),"P1","P2"))</x:f>
        <x:v>P2</x:v>
      </x:c>
      <x:c r="W51" s="14"/>
      <x:c r="X51" s="14"/>
      <x:c r="Y51" s="14"/>
      <x:c r="Z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 t="n">
        <x:f>IF(K52="Verified",ROUND(H52*0.30+IF(O52="Yes",18,0)+IF(P52="Yes",14,0)+IF(Q52="Yes",14,0)+IF(R52="No",12,0)+IF(S52="Yes",12,0),0),IF(K52="Candidate",MIN(60,H52),IF(K52="Rejected",0,MIN(40,H52))))</x:f>
        <x:v>40</x:v>
      </x:c>
      <x:c r="U52" s="14" t="str">
        <x:f>IF(T52&gt;=80,"Can Use",IF(T52&gt;=65,"Can Use With Confirmation",IF(T52&gt;=50,"Watch Only",IF(T52&gt;=30,"Research Only","Do Not Use"))))</x:f>
        <x:v>Research Only</x:v>
      </x:c>
      <x:c r="V52" s="14" t="str">
        <x:f>IF(OR(A52="CRDO",A52="LITE"),"P0",IF(OR(A52="NVDA",A52="IREN",A52="HOOD"),"P1","P2"))</x:f>
        <x:v>P2</x:v>
      </x:c>
      <x:c r="W52" s="14"/>
      <x:c r="X52" s="14"/>
      <x:c r="Y52" s="14"/>
      <x:c r="Z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 t="n">
        <x:f>IF(K53="Verified",ROUND(H53*0.30+IF(O53="Yes",18,0)+IF(P53="Yes",14,0)+IF(Q53="Yes",14,0)+IF(R53="No",12,0)+IF(S53="Yes",12,0),0),IF(K53="Candidate",MIN(60,H53),IF(K53="Rejected",0,MIN(40,H53))))</x:f>
        <x:v>40</x:v>
      </x:c>
      <x:c r="U53" s="14" t="str">
        <x:f>IF(T53&gt;=80,"Can Use",IF(T53&gt;=65,"Can Use With Confirmation",IF(T53&gt;=50,"Watch Only",IF(T53&gt;=30,"Research Only","Do Not Use"))))</x:f>
        <x:v>Research Only</x:v>
      </x:c>
      <x:c r="V53" s="14" t="str">
        <x:f>IF(OR(A53="CRDO",A53="LITE"),"P0",IF(OR(A53="NVDA",A53="IREN",A53="HOOD"),"P1","P2"))</x:f>
        <x:v>P2</x:v>
      </x:c>
      <x:c r="W53" s="14"/>
      <x:c r="X53" s="14"/>
      <x:c r="Y53" s="14"/>
      <x:c r="Z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 t="n">
        <x:f>IF(K54="Verified",ROUND(H54*0.30+IF(O54="Yes",18,0)+IF(P54="Yes",14,0)+IF(Q54="Yes",14,0)+IF(R54="No",12,0)+IF(S54="Yes",12,0),0),IF(K54="Candidate",MIN(60,H54),IF(K54="Rejected",0,MIN(40,H54))))</x:f>
        <x:v>40</x:v>
      </x:c>
      <x:c r="U54" s="14" t="str">
        <x:f>IF(T54&gt;=80,"Can Use",IF(T54&gt;=65,"Can Use With Confirmation",IF(T54&gt;=50,"Watch Only",IF(T54&gt;=30,"Research Only","Do Not Use"))))</x:f>
        <x:v>Research Only</x:v>
      </x:c>
      <x:c r="V54" s="14" t="str">
        <x:f>IF(OR(A54="CRDO",A54="LITE"),"P0",IF(OR(A54="NVDA",A54="IREN",A54="HOOD"),"P1","P2"))</x:f>
        <x:v>P2</x:v>
      </x:c>
      <x:c r="W54" s="14"/>
      <x:c r="X54" s="14"/>
      <x:c r="Y54" s="14"/>
      <x:c r="Z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 t="n">
        <x:f>IF(K55="Verified",ROUND(H55*0.30+IF(O55="Yes",18,0)+IF(P55="Yes",14,0)+IF(Q55="Yes",14,0)+IF(R55="No",12,0)+IF(S55="Yes",12,0),0),IF(K55="Candidate",MIN(60,H55),IF(K55="Rejected",0,MIN(40,H55))))</x:f>
        <x:v>40</x:v>
      </x:c>
      <x:c r="U55" s="14" t="str">
        <x:f>IF(T55&gt;=80,"Can Use",IF(T55&gt;=65,"Can Use With Confirmation",IF(T55&gt;=50,"Watch Only",IF(T55&gt;=30,"Research Only","Do Not Use"))))</x:f>
        <x:v>Research Only</x:v>
      </x:c>
      <x:c r="V55" s="14" t="str">
        <x:f>IF(OR(A55="CRDO",A55="LITE"),"P0",IF(OR(A55="NVDA",A55="IREN",A55="HOOD"),"P1","P2"))</x:f>
        <x:v>P2</x:v>
      </x:c>
      <x:c r="W55" s="14"/>
      <x:c r="X55" s="14"/>
      <x:c r="Y55" s="14"/>
      <x:c r="Z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 t="n">
        <x:f>IF(K56="Verified",ROUND(H56*0.30+IF(O56="Yes",18,0)+IF(P56="Yes",14,0)+IF(Q56="Yes",14,0)+IF(R56="No",12,0)+IF(S56="Yes",12,0),0),IF(K56="Candidate",MIN(60,H56),IF(K56="Rejected",0,MIN(40,H56))))</x:f>
        <x:v>40</x:v>
      </x:c>
      <x:c r="U56" s="14" t="str">
        <x:f>IF(T56&gt;=80,"Can Use",IF(T56&gt;=65,"Can Use With Confirmation",IF(T56&gt;=50,"Watch Only",IF(T56&gt;=30,"Research Only","Do Not Use"))))</x:f>
        <x:v>Research Only</x:v>
      </x:c>
      <x:c r="V56" s="14" t="str">
        <x:f>IF(OR(A56="CRDO",A56="LITE"),"P0",IF(OR(A56="NVDA",A56="IREN",A56="HOOD"),"P1","P2"))</x:f>
        <x:v>P2</x:v>
      </x:c>
      <x:c r="W56" s="14"/>
      <x:c r="X56" s="14"/>
      <x:c r="Y56" s="14"/>
      <x:c r="Z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 t="n">
        <x:f>IF(K57="Verified",ROUND(H57*0.30+IF(O57="Yes",18,0)+IF(P57="Yes",14,0)+IF(Q57="Yes",14,0)+IF(R57="No",12,0)+IF(S57="Yes",12,0),0),IF(K57="Candidate",MIN(60,H57),IF(K57="Rejected",0,MIN(40,H57))))</x:f>
        <x:v>40</x:v>
      </x:c>
      <x:c r="U57" s="14" t="str">
        <x:f>IF(T57&gt;=80,"Can Use",IF(T57&gt;=65,"Can Use With Confirmation",IF(T57&gt;=50,"Watch Only",IF(T57&gt;=30,"Research Only","Do Not Use"))))</x:f>
        <x:v>Research Only</x:v>
      </x:c>
      <x:c r="V57" s="14" t="str">
        <x:f>IF(OR(A57="CRDO",A57="LITE"),"P0",IF(OR(A57="NVDA",A57="IREN",A57="HOOD"),"P1","P2"))</x:f>
        <x:v>P2</x:v>
      </x:c>
      <x:c r="W57" s="14"/>
      <x:c r="X57" s="14"/>
      <x:c r="Y57" s="14"/>
      <x:c r="Z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 t="n">
        <x:f>IF(K58="Verified",ROUND(H58*0.30+IF(O58="Yes",18,0)+IF(P58="Yes",14,0)+IF(Q58="Yes",14,0)+IF(R58="No",12,0)+IF(S58="Yes",12,0),0),IF(K58="Candidate",MIN(60,H58),IF(K58="Rejected",0,MIN(40,H58))))</x:f>
        <x:v>40</x:v>
      </x:c>
      <x:c r="U58" s="14" t="str">
        <x:f>IF(T58&gt;=80,"Can Use",IF(T58&gt;=65,"Can Use With Confirmation",IF(T58&gt;=50,"Watch Only",IF(T58&gt;=30,"Research Only","Do Not Use"))))</x:f>
        <x:v>Research Only</x:v>
      </x:c>
      <x:c r="V58" s="14" t="str">
        <x:f>IF(OR(A58="CRDO",A58="LITE"),"P0",IF(OR(A58="NVDA",A58="IREN",A58="HOOD"),"P1","P2"))</x:f>
        <x:v>P2</x:v>
      </x:c>
      <x:c r="W58" s="14"/>
      <x:c r="X58" s="14"/>
      <x:c r="Y58" s="14"/>
      <x:c r="Z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 t="n">
        <x:f>IF(K59="Verified",ROUND(H59*0.30+IF(O59="Yes",18,0)+IF(P59="Yes",14,0)+IF(Q59="Yes",14,0)+IF(R59="No",12,0)+IF(S59="Yes",12,0),0),IF(K59="Candidate",MIN(60,H59),IF(K59="Rejected",0,MIN(40,H59))))</x:f>
        <x:v>40</x:v>
      </x:c>
      <x:c r="U59" s="14" t="str">
        <x:f>IF(T59&gt;=80,"Can Use",IF(T59&gt;=65,"Can Use With Confirmation",IF(T59&gt;=50,"Watch Only",IF(T59&gt;=30,"Research Only","Do Not Use"))))</x:f>
        <x:v>Research Only</x:v>
      </x:c>
      <x:c r="V59" s="14" t="str">
        <x:f>IF(OR(A59="CRDO",A59="LITE"),"P0",IF(OR(A59="NVDA",A59="IREN",A59="HOOD"),"P1","P2"))</x:f>
        <x:v>P2</x:v>
      </x:c>
      <x:c r="W59" s="14"/>
      <x:c r="X59" s="14"/>
      <x:c r="Y59" s="14"/>
      <x:c r="Z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 t="n">
        <x:f>IF(K60="Verified",ROUND(H60*0.30+IF(O60="Yes",18,0)+IF(P60="Yes",14,0)+IF(Q60="Yes",14,0)+IF(R60="No",12,0)+IF(S60="Yes",12,0),0),IF(K60="Candidate",MIN(60,H60),IF(K60="Rejected",0,MIN(40,H60))))</x:f>
        <x:v>40</x:v>
      </x:c>
      <x:c r="U60" s="14" t="str">
        <x:f>IF(T60&gt;=80,"Can Use",IF(T60&gt;=65,"Can Use With Confirmation",IF(T60&gt;=50,"Watch Only",IF(T60&gt;=30,"Research Only","Do Not Use"))))</x:f>
        <x:v>Research Only</x:v>
      </x:c>
      <x:c r="V60" s="14" t="str">
        <x:f>IF(OR(A60="CRDO",A60="LITE"),"P0",IF(OR(A60="NVDA",A60="IREN",A60="HOOD"),"P1","P2"))</x:f>
        <x:v>P2</x:v>
      </x:c>
      <x:c r="W60" s="14"/>
      <x:c r="X60" s="14"/>
      <x:c r="Y60" s="14"/>
      <x:c r="Z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 t="n">
        <x:f>IF(K61="Verified",ROUND(H61*0.30+IF(O61="Yes",18,0)+IF(P61="Yes",14,0)+IF(Q61="Yes",14,0)+IF(R61="No",12,0)+IF(S61="Yes",12,0),0),IF(K61="Candidate",MIN(60,H61),IF(K61="Rejected",0,MIN(40,H61))))</x:f>
        <x:v>40</x:v>
      </x:c>
      <x:c r="U61" s="14" t="str">
        <x:f>IF(T61&gt;=80,"Can Use",IF(T61&gt;=65,"Can Use With Confirmation",IF(T61&gt;=50,"Watch Only",IF(T61&gt;=30,"Research Only","Do Not Use"))))</x:f>
        <x:v>Research Only</x:v>
      </x:c>
      <x:c r="V61" s="14" t="str">
        <x:f>IF(OR(A61="CRDO",A61="LITE"),"P0",IF(OR(A61="NVDA",A61="IREN",A61="HOOD"),"P1","P2"))</x:f>
        <x:v>P2</x:v>
      </x:c>
      <x:c r="W61" s="14"/>
      <x:c r="X61" s="14"/>
      <x:c r="Y61" s="14"/>
      <x:c r="Z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 t="n">
        <x:f>IF(K62="Verified",ROUND(H62*0.30+IF(O62="Yes",18,0)+IF(P62="Yes",14,0)+IF(Q62="Yes",14,0)+IF(R62="No",12,0)+IF(S62="Yes",12,0),0),IF(K62="Candidate",MIN(60,H62),IF(K62="Rejected",0,MIN(40,H62))))</x:f>
        <x:v>40</x:v>
      </x:c>
      <x:c r="U62" s="14" t="str">
        <x:f>IF(T62&gt;=80,"Can Use",IF(T62&gt;=65,"Can Use With Confirmation",IF(T62&gt;=50,"Watch Only",IF(T62&gt;=30,"Research Only","Do Not Use"))))</x:f>
        <x:v>Research Only</x:v>
      </x:c>
      <x:c r="V62" s="14" t="str">
        <x:f>IF(OR(A62="CRDO",A62="LITE"),"P0",IF(OR(A62="NVDA",A62="IREN",A62="HOOD"),"P1","P2"))</x:f>
        <x:v>P2</x:v>
      </x:c>
      <x:c r="W62" s="14"/>
      <x:c r="X62" s="14"/>
      <x:c r="Y62" s="14"/>
      <x:c r="Z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 t="n">
        <x:f>IF(K63="Verified",ROUND(H63*0.30+IF(O63="Yes",18,0)+IF(P63="Yes",14,0)+IF(Q63="Yes",14,0)+IF(R63="No",12,0)+IF(S63="Yes",12,0),0),IF(K63="Candidate",MIN(60,H63),IF(K63="Rejected",0,MIN(40,H63))))</x:f>
        <x:v>40</x:v>
      </x:c>
      <x:c r="U63" s="14" t="str">
        <x:f>IF(T63&gt;=80,"Can Use",IF(T63&gt;=65,"Can Use With Confirmation",IF(T63&gt;=50,"Watch Only",IF(T63&gt;=30,"Research Only","Do Not Use"))))</x:f>
        <x:v>Research Only</x:v>
      </x:c>
      <x:c r="V63" s="14" t="str">
        <x:f>IF(OR(A63="CRDO",A63="LITE"),"P0",IF(OR(A63="NVDA",A63="IREN",A63="HOOD"),"P1","P2"))</x:f>
        <x:v>P2</x:v>
      </x:c>
      <x:c r="W63" s="14"/>
      <x:c r="X63" s="14"/>
      <x:c r="Y63" s="14"/>
      <x:c r="Z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 t="n">
        <x:f>IF(K64="Verified",ROUND(H64*0.30+IF(O64="Yes",18,0)+IF(P64="Yes",14,0)+IF(Q64="Yes",14,0)+IF(R64="No",12,0)+IF(S64="Yes",12,0),0),IF(K64="Candidate",MIN(60,H64),IF(K64="Rejected",0,MIN(40,H64))))</x:f>
        <x:v>40</x:v>
      </x:c>
      <x:c r="U64" s="14" t="str">
        <x:f>IF(T64&gt;=80,"Can Use",IF(T64&gt;=65,"Can Use With Confirmation",IF(T64&gt;=50,"Watch Only",IF(T64&gt;=30,"Research Only","Do Not Use"))))</x:f>
        <x:v>Research Only</x:v>
      </x:c>
      <x:c r="V64" s="14" t="str">
        <x:f>IF(OR(A64="CRDO",A64="LITE"),"P0",IF(OR(A64="NVDA",A64="IREN",A64="HOOD"),"P1","P2"))</x:f>
        <x:v>P2</x:v>
      </x:c>
      <x:c r="W64" s="14"/>
      <x:c r="X64" s="14"/>
      <x:c r="Y64" s="14"/>
      <x:c r="Z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 t="n">
        <x:f>IF(K65="Verified",ROUND(H65*0.30+IF(O65="Yes",18,0)+IF(P65="Yes",14,0)+IF(Q65="Yes",14,0)+IF(R65="No",12,0)+IF(S65="Yes",12,0),0),IF(K65="Candidate",MIN(60,H65),IF(K65="Rejected",0,MIN(40,H65))))</x:f>
        <x:v>40</x:v>
      </x:c>
      <x:c r="U65" s="14" t="str">
        <x:f>IF(T65&gt;=80,"Can Use",IF(T65&gt;=65,"Can Use With Confirmation",IF(T65&gt;=50,"Watch Only",IF(T65&gt;=30,"Research Only","Do Not Use"))))</x:f>
        <x:v>Research Only</x:v>
      </x:c>
      <x:c r="V65" s="14" t="str">
        <x:f>IF(OR(A65="CRDO",A65="LITE"),"P0",IF(OR(A65="NVDA",A65="IREN",A65="HOOD"),"P1","P2"))</x:f>
        <x:v>P2</x:v>
      </x:c>
      <x:c r="W65" s="14"/>
      <x:c r="X65" s="14"/>
      <x:c r="Y65" s="14"/>
      <x:c r="Z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 t="n">
        <x:f>IF(K66="Verified",ROUND(H66*0.30+IF(O66="Yes",18,0)+IF(P66="Yes",14,0)+IF(Q66="Yes",14,0)+IF(R66="No",12,0)+IF(S66="Yes",12,0),0),IF(K66="Candidate",MIN(60,H66),IF(K66="Rejected",0,MIN(40,H66))))</x:f>
        <x:v>40</x:v>
      </x:c>
      <x:c r="U66" s="14" t="str">
        <x:f>IF(T66&gt;=80,"Can Use",IF(T66&gt;=65,"Can Use With Confirmation",IF(T66&gt;=50,"Watch Only",IF(T66&gt;=30,"Research Only","Do Not Use"))))</x:f>
        <x:v>Research Only</x:v>
      </x:c>
      <x:c r="V66" s="14" t="str">
        <x:f>IF(OR(A66="CRDO",A66="LITE"),"P0",IF(OR(A66="NVDA",A66="IREN",A66="HOOD"),"P1","P2"))</x:f>
        <x:v>P2</x:v>
      </x:c>
      <x:c r="W66" s="14"/>
      <x:c r="X66" s="14"/>
      <x:c r="Y66" s="14"/>
      <x:c r="Z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 t="n">
        <x:f>IF(K67="Verified",ROUND(H67*0.30+IF(O67="Yes",18,0)+IF(P67="Yes",14,0)+IF(Q67="Yes",14,0)+IF(R67="No",12,0)+IF(S67="Yes",12,0),0),IF(K67="Candidate",MIN(60,H67),IF(K67="Rejected",0,MIN(40,H67))))</x:f>
        <x:v>40</x:v>
      </x:c>
      <x:c r="U67" s="14" t="str">
        <x:f>IF(T67&gt;=80,"Can Use",IF(T67&gt;=65,"Can Use With Confirmation",IF(T67&gt;=50,"Watch Only",IF(T67&gt;=30,"Research Only","Do Not Use"))))</x:f>
        <x:v>Research Only</x:v>
      </x:c>
      <x:c r="V67" s="14" t="str">
        <x:f>IF(OR(A67="CRDO",A67="LITE"),"P0",IF(OR(A67="NVDA",A67="IREN",A67="HOOD"),"P1","P2"))</x:f>
        <x:v>P2</x:v>
      </x:c>
      <x:c r="W67" s="14"/>
      <x:c r="X67" s="14"/>
      <x:c r="Y67" s="14"/>
      <x:c r="Z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 t="n">
        <x:f>IF(K68="Verified",ROUND(H68*0.30+IF(O68="Yes",18,0)+IF(P68="Yes",14,0)+IF(Q68="Yes",14,0)+IF(R68="No",12,0)+IF(S68="Yes",12,0),0),IF(K68="Candidate",MIN(60,H68),IF(K68="Rejected",0,MIN(40,H68))))</x:f>
        <x:v>40</x:v>
      </x:c>
      <x:c r="U68" s="14" t="str">
        <x:f>IF(T68&gt;=80,"Can Use",IF(T68&gt;=65,"Can Use With Confirmation",IF(T68&gt;=50,"Watch Only",IF(T68&gt;=30,"Research Only","Do Not Use"))))</x:f>
        <x:v>Research Only</x:v>
      </x:c>
      <x:c r="V68" s="14" t="str">
        <x:f>IF(OR(A68="CRDO",A68="LITE"),"P0",IF(OR(A68="NVDA",A68="IREN",A68="HOOD"),"P1","P2"))</x:f>
        <x:v>P2</x:v>
      </x:c>
      <x:c r="W68" s="14"/>
      <x:c r="X68" s="14"/>
      <x:c r="Y68" s="14"/>
      <x:c r="Z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 t="n">
        <x:f>IF(K69="Verified",ROUND(H69*0.30+IF(O69="Yes",18,0)+IF(P69="Yes",14,0)+IF(Q69="Yes",14,0)+IF(R69="No",12,0)+IF(S69="Yes",12,0),0),IF(K69="Candidate",MIN(60,H69),IF(K69="Rejected",0,MIN(40,H69))))</x:f>
        <x:v>40</x:v>
      </x:c>
      <x:c r="U69" s="14" t="str">
        <x:f>IF(T69&gt;=80,"Can Use",IF(T69&gt;=65,"Can Use With Confirmation",IF(T69&gt;=50,"Watch Only",IF(T69&gt;=30,"Research Only","Do Not Use"))))</x:f>
        <x:v>Research Only</x:v>
      </x:c>
      <x:c r="V69" s="14" t="str">
        <x:f>IF(OR(A69="CRDO",A69="LITE"),"P0",IF(OR(A69="NVDA",A69="IREN",A69="HOOD"),"P1","P2"))</x:f>
        <x:v>P2</x:v>
      </x:c>
      <x:c r="W69" s="14"/>
      <x:c r="X69" s="14"/>
      <x:c r="Y69" s="14"/>
      <x:c r="Z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 t="n">
        <x:f>IF(K70="Verified",ROUND(H70*0.30+IF(O70="Yes",18,0)+IF(P70="Yes",14,0)+IF(Q70="Yes",14,0)+IF(R70="No",12,0)+IF(S70="Yes",12,0),0),IF(K70="Candidate",MIN(60,H70),IF(K70="Rejected",0,MIN(40,H70))))</x:f>
        <x:v>40</x:v>
      </x:c>
      <x:c r="U70" s="14" t="str">
        <x:f>IF(T70&gt;=80,"Can Use",IF(T70&gt;=65,"Can Use With Confirmation",IF(T70&gt;=50,"Watch Only",IF(T70&gt;=30,"Research Only","Do Not Use"))))</x:f>
        <x:v>Research Only</x:v>
      </x:c>
      <x:c r="V70" s="14" t="str">
        <x:f>IF(OR(A70="CRDO",A70="LITE"),"P0",IF(OR(A70="NVDA",A70="IREN",A70="HOOD"),"P1","P2"))</x:f>
        <x:v>P2</x:v>
      </x:c>
      <x:c r="W70" s="14"/>
      <x:c r="X70" s="14"/>
      <x:c r="Y70" s="14"/>
      <x:c r="Z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 t="n">
        <x:f>IF(K71="Verified",ROUND(H71*0.30+IF(O71="Yes",18,0)+IF(P71="Yes",14,0)+IF(Q71="Yes",14,0)+IF(R71="No",12,0)+IF(S71="Yes",12,0),0),IF(K71="Candidate",MIN(60,H71),IF(K71="Rejected",0,MIN(40,H71))))</x:f>
        <x:v>40</x:v>
      </x:c>
      <x:c r="U71" s="14" t="str">
        <x:f>IF(T71&gt;=80,"Can Use",IF(T71&gt;=65,"Can Use With Confirmation",IF(T71&gt;=50,"Watch Only",IF(T71&gt;=30,"Research Only","Do Not Use"))))</x:f>
        <x:v>Research Only</x:v>
      </x:c>
      <x:c r="V71" s="14" t="str">
        <x:f>IF(OR(A71="CRDO",A71="LITE"),"P0",IF(OR(A71="NVDA",A71="IREN",A71="HOOD"),"P1","P2"))</x:f>
        <x:v>P2</x:v>
      </x:c>
      <x:c r="W71" s="14"/>
      <x:c r="X71" s="14"/>
      <x:c r="Y71" s="14"/>
      <x:c r="Z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 t="n">
        <x:f>IF(K72="Verified",ROUND(H72*0.30+IF(O72="Yes",18,0)+IF(P72="Yes",14,0)+IF(Q72="Yes",14,0)+IF(R72="No",12,0)+IF(S72="Yes",12,0),0),IF(K72="Candidate",MIN(60,H72),IF(K72="Rejected",0,MIN(40,H72))))</x:f>
        <x:v>40</x:v>
      </x:c>
      <x:c r="U72" s="14" t="str">
        <x:f>IF(T72&gt;=80,"Can Use",IF(T72&gt;=65,"Can Use With Confirmation",IF(T72&gt;=50,"Watch Only",IF(T72&gt;=30,"Research Only","Do Not Use"))))</x:f>
        <x:v>Research Only</x:v>
      </x:c>
      <x:c r="V72" s="14" t="str">
        <x:f>IF(OR(A72="CRDO",A72="LITE"),"P0",IF(OR(A72="NVDA",A72="IREN",A72="HOOD"),"P1","P2"))</x:f>
        <x:v>P2</x:v>
      </x:c>
      <x:c r="W72" s="14"/>
      <x:c r="X72" s="14"/>
      <x:c r="Y72" s="14"/>
      <x:c r="Z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 t="n">
        <x:f>IF(K73="Verified",ROUND(H73*0.30+IF(O73="Yes",18,0)+IF(P73="Yes",14,0)+IF(Q73="Yes",14,0)+IF(R73="No",12,0)+IF(S73="Yes",12,0),0),IF(K73="Candidate",MIN(60,H73),IF(K73="Rejected",0,MIN(40,H73))))</x:f>
        <x:v>40</x:v>
      </x:c>
      <x:c r="U73" s="14" t="str">
        <x:f>IF(T73&gt;=80,"Can Use",IF(T73&gt;=65,"Can Use With Confirmation",IF(T73&gt;=50,"Watch Only",IF(T73&gt;=30,"Research Only","Do Not Use"))))</x:f>
        <x:v>Research Only</x:v>
      </x:c>
      <x:c r="V73" s="14" t="str">
        <x:f>IF(OR(A73="CRDO",A73="LITE"),"P0",IF(OR(A73="NVDA",A73="IREN",A73="HOOD"),"P1","P2"))</x:f>
        <x:v>P2</x:v>
      </x:c>
      <x:c r="W73" s="14"/>
      <x:c r="X73" s="14"/>
      <x:c r="Y73" s="14"/>
      <x:c r="Z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 t="n">
        <x:f>IF(K74="Verified",ROUND(H74*0.30+IF(O74="Yes",18,0)+IF(P74="Yes",14,0)+IF(Q74="Yes",14,0)+IF(R74="No",12,0)+IF(S74="Yes",12,0),0),IF(K74="Candidate",MIN(60,H74),IF(K74="Rejected",0,MIN(40,H74))))</x:f>
        <x:v>40</x:v>
      </x:c>
      <x:c r="U74" s="14" t="str">
        <x:f>IF(T74&gt;=80,"Can Use",IF(T74&gt;=65,"Can Use With Confirmation",IF(T74&gt;=50,"Watch Only",IF(T74&gt;=30,"Research Only","Do Not Use"))))</x:f>
        <x:v>Research Only</x:v>
      </x:c>
      <x:c r="V74" s="14" t="str">
        <x:f>IF(OR(A74="CRDO",A74="LITE"),"P0",IF(OR(A74="NVDA",A74="IREN",A74="HOOD"),"P1","P2"))</x:f>
        <x:v>P2</x:v>
      </x:c>
      <x:c r="W74" s="14"/>
      <x:c r="X74" s="14"/>
      <x:c r="Y74" s="14"/>
      <x:c r="Z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 t="n">
        <x:f>IF(K75="Verified",ROUND(H75*0.30+IF(O75="Yes",18,0)+IF(P75="Yes",14,0)+IF(Q75="Yes",14,0)+IF(R75="No",12,0)+IF(S75="Yes",12,0),0),IF(K75="Candidate",MIN(60,H75),IF(K75="Rejected",0,MIN(40,H75))))</x:f>
        <x:v>40</x:v>
      </x:c>
      <x:c r="U75" s="14" t="str">
        <x:f>IF(T75&gt;=80,"Can Use",IF(T75&gt;=65,"Can Use With Confirmation",IF(T75&gt;=50,"Watch Only",IF(T75&gt;=30,"Research Only","Do Not Use"))))</x:f>
        <x:v>Research Only</x:v>
      </x:c>
      <x:c r="V75" s="14" t="str">
        <x:f>IF(OR(A75="CRDO",A75="LITE"),"P0",IF(OR(A75="NVDA",A75="IREN",A75="HOOD"),"P1","P2"))</x:f>
        <x:v>P2</x:v>
      </x:c>
      <x:c r="W75" s="14"/>
      <x:c r="X75" s="14"/>
      <x:c r="Y75" s="14"/>
      <x:c r="Z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 t="n">
        <x:f>IF(K76="Verified",ROUND(H76*0.30+IF(O76="Yes",18,0)+IF(P76="Yes",14,0)+IF(Q76="Yes",14,0)+IF(R76="No",12,0)+IF(S76="Yes",12,0),0),IF(K76="Candidate",MIN(60,H76),IF(K76="Rejected",0,MIN(40,H76))))</x:f>
        <x:v>40</x:v>
      </x:c>
      <x:c r="U76" s="14" t="str">
        <x:f>IF(T76&gt;=80,"Can Use",IF(T76&gt;=65,"Can Use With Confirmation",IF(T76&gt;=50,"Watch Only",IF(T76&gt;=30,"Research Only","Do Not Use"))))</x:f>
        <x:v>Research Only</x:v>
      </x:c>
      <x:c r="V76" s="14" t="str">
        <x:f>IF(OR(A76="CRDO",A76="LITE"),"P0",IF(OR(A76="NVDA",A76="IREN",A76="HOOD"),"P1","P2"))</x:f>
        <x:v>P2</x:v>
      </x:c>
      <x:c r="W76" s="14"/>
      <x:c r="X76" s="14"/>
      <x:c r="Y76" s="14"/>
      <x:c r="Z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 t="n">
        <x:f>IF(K77="Verified",ROUND(H77*0.30+IF(O77="Yes",18,0)+IF(P77="Yes",14,0)+IF(Q77="Yes",14,0)+IF(R77="No",12,0)+IF(S77="Yes",12,0),0),IF(K77="Candidate",MIN(60,H77),IF(K77="Rejected",0,MIN(40,H77))))</x:f>
        <x:v>40</x:v>
      </x:c>
      <x:c r="U77" s="14" t="str">
        <x:f>IF(T77&gt;=80,"Can Use",IF(T77&gt;=65,"Can Use With Confirmation",IF(T77&gt;=50,"Watch Only",IF(T77&gt;=30,"Research Only","Do Not Use"))))</x:f>
        <x:v>Research Only</x:v>
      </x:c>
      <x:c r="V77" s="14" t="str">
        <x:f>IF(OR(A77="CRDO",A77="LITE"),"P0",IF(OR(A77="NVDA",A77="IREN",A77="HOOD"),"P1","P2"))</x:f>
        <x:v>P2</x:v>
      </x:c>
      <x:c r="W77" s="14"/>
      <x:c r="X77" s="14"/>
      <x:c r="Y77" s="14"/>
      <x:c r="Z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 t="n">
        <x:f>IF(K78="Verified",ROUND(H78*0.30+IF(O78="Yes",18,0)+IF(P78="Yes",14,0)+IF(Q78="Yes",14,0)+IF(R78="No",12,0)+IF(S78="Yes",12,0),0),IF(K78="Candidate",MIN(60,H78),IF(K78="Rejected",0,MIN(40,H78))))</x:f>
        <x:v>40</x:v>
      </x:c>
      <x:c r="U78" s="14" t="str">
        <x:f>IF(T78&gt;=80,"Can Use",IF(T78&gt;=65,"Can Use With Confirmation",IF(T78&gt;=50,"Watch Only",IF(T78&gt;=30,"Research Only","Do Not Use"))))</x:f>
        <x:v>Research Only</x:v>
      </x:c>
      <x:c r="V78" s="14" t="str">
        <x:f>IF(OR(A78="CRDO",A78="LITE"),"P0",IF(OR(A78="NVDA",A78="IREN",A78="HOOD"),"P1","P2"))</x:f>
        <x:v>P2</x:v>
      </x:c>
      <x:c r="W78" s="14"/>
      <x:c r="X78" s="14"/>
      <x:c r="Y78" s="14"/>
      <x:c r="Z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 t="n">
        <x:f>IF(K79="Verified",ROUND(H79*0.30+IF(O79="Yes",18,0)+IF(P79="Yes",14,0)+IF(Q79="Yes",14,0)+IF(R79="No",12,0)+IF(S79="Yes",12,0),0),IF(K79="Candidate",MIN(60,H79),IF(K79="Rejected",0,MIN(40,H79))))</x:f>
        <x:v>40</x:v>
      </x:c>
      <x:c r="U79" s="14" t="str">
        <x:f>IF(T79&gt;=80,"Can Use",IF(T79&gt;=65,"Can Use With Confirmation",IF(T79&gt;=50,"Watch Only",IF(T79&gt;=30,"Research Only","Do Not Use"))))</x:f>
        <x:v>Research Only</x:v>
      </x:c>
      <x:c r="V79" s="14" t="str">
        <x:f>IF(OR(A79="CRDO",A79="LITE"),"P0",IF(OR(A79="NVDA",A79="IREN",A79="HOOD"),"P1","P2"))</x:f>
        <x:v>P2</x:v>
      </x:c>
      <x:c r="W79" s="14"/>
      <x:c r="X79" s="14"/>
      <x:c r="Y79" s="14"/>
      <x:c r="Z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 t="n">
        <x:f>IF(K80="Verified",ROUND(H80*0.30+IF(O80="Yes",18,0)+IF(P80="Yes",14,0)+IF(Q80="Yes",14,0)+IF(R80="No",12,0)+IF(S80="Yes",12,0),0),IF(K80="Candidate",MIN(60,H80),IF(K80="Rejected",0,MIN(40,H80))))</x:f>
        <x:v>40</x:v>
      </x:c>
      <x:c r="U80" s="14" t="str">
        <x:f>IF(T80&gt;=80,"Can Use",IF(T80&gt;=65,"Can Use With Confirmation",IF(T80&gt;=50,"Watch Only",IF(T80&gt;=30,"Research Only","Do Not Use"))))</x:f>
        <x:v>Research Only</x:v>
      </x:c>
      <x:c r="V80" s="14" t="str">
        <x:f>IF(OR(A80="CRDO",A80="LITE"),"P0",IF(OR(A80="NVDA",A80="IREN",A80="HOOD"),"P1","P2"))</x:f>
        <x:v>P2</x:v>
      </x:c>
      <x:c r="W80" s="14"/>
      <x:c r="X80" s="14"/>
      <x:c r="Y80" s="14"/>
      <x:c r="Z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 t="n">
        <x:f>IF(K81="Verified",ROUND(H81*0.30+IF(O81="Yes",18,0)+IF(P81="Yes",14,0)+IF(Q81="Yes",14,0)+IF(R81="No",12,0)+IF(S81="Yes",12,0),0),IF(K81="Candidate",MIN(60,H81),IF(K81="Rejected",0,MIN(40,H81))))</x:f>
        <x:v>40</x:v>
      </x:c>
      <x:c r="U81" s="14" t="str">
        <x:f>IF(T81&gt;=80,"Can Use",IF(T81&gt;=65,"Can Use With Confirmation",IF(T81&gt;=50,"Watch Only",IF(T81&gt;=30,"Research Only","Do Not Use"))))</x:f>
        <x:v>Research Only</x:v>
      </x:c>
      <x:c r="V81" s="14" t="str">
        <x:f>IF(OR(A81="CRDO",A81="LITE"),"P0",IF(OR(A81="NVDA",A81="IREN",A81="HOOD"),"P1","P2"))</x:f>
        <x:v>P2</x:v>
      </x:c>
      <x:c r="W81" s="14"/>
      <x:c r="X81" s="14"/>
      <x:c r="Y81" s="14"/>
      <x:c r="Z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 t="n">
        <x:f>IF(K82="Verified",ROUND(H82*0.30+IF(O82="Yes",18,0)+IF(P82="Yes",14,0)+IF(Q82="Yes",14,0)+IF(R82="No",12,0)+IF(S82="Yes",12,0),0),IF(K82="Candidate",MIN(60,H82),IF(K82="Rejected",0,MIN(40,H82))))</x:f>
        <x:v>40</x:v>
      </x:c>
      <x:c r="U82" s="14" t="str">
        <x:f>IF(T82&gt;=80,"Can Use",IF(T82&gt;=65,"Can Use With Confirmation",IF(T82&gt;=50,"Watch Only",IF(T82&gt;=30,"Research Only","Do Not Use"))))</x:f>
        <x:v>Research Only</x:v>
      </x:c>
      <x:c r="V82" s="14" t="str">
        <x:f>IF(OR(A82="CRDO",A82="LITE"),"P0",IF(OR(A82="NVDA",A82="IREN",A82="HOOD"),"P1","P2"))</x:f>
        <x:v>P2</x:v>
      </x:c>
      <x:c r="W82" s="14"/>
      <x:c r="X82" s="14"/>
      <x:c r="Y82" s="14"/>
      <x:c r="Z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 t="n">
        <x:f>IF(K83="Verified",ROUND(H83*0.30+IF(O83="Yes",18,0)+IF(P83="Yes",14,0)+IF(Q83="Yes",14,0)+IF(R83="No",12,0)+IF(S83="Yes",12,0),0),IF(K83="Candidate",MIN(60,H83),IF(K83="Rejected",0,MIN(40,H83))))</x:f>
        <x:v>40</x:v>
      </x:c>
      <x:c r="U83" s="14" t="str">
        <x:f>IF(T83&gt;=80,"Can Use",IF(T83&gt;=65,"Can Use With Confirmation",IF(T83&gt;=50,"Watch Only",IF(T83&gt;=30,"Research Only","Do Not Use"))))</x:f>
        <x:v>Research Only</x:v>
      </x:c>
      <x:c r="V83" s="14" t="str">
        <x:f>IF(OR(A83="CRDO",A83="LITE"),"P0",IF(OR(A83="NVDA",A83="IREN",A83="HOOD"),"P1","P2"))</x:f>
        <x:v>P2</x:v>
      </x:c>
      <x:c r="W83" s="14"/>
      <x:c r="X83" s="14"/>
      <x:c r="Y83" s="14"/>
      <x:c r="Z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 t="n">
        <x:f>IF(K84="Verified",ROUND(H84*0.30+IF(O84="Yes",18,0)+IF(P84="Yes",14,0)+IF(Q84="Yes",14,0)+IF(R84="No",12,0)+IF(S84="Yes",12,0),0),IF(K84="Candidate",MIN(60,H84),IF(K84="Rejected",0,MIN(40,H84))))</x:f>
        <x:v>40</x:v>
      </x:c>
      <x:c r="U84" s="14" t="str">
        <x:f>IF(T84&gt;=80,"Can Use",IF(T84&gt;=65,"Can Use With Confirmation",IF(T84&gt;=50,"Watch Only",IF(T84&gt;=30,"Research Only","Do Not Use"))))</x:f>
        <x:v>Research Only</x:v>
      </x:c>
      <x:c r="V84" s="14" t="str">
        <x:f>IF(OR(A84="CRDO",A84="LITE"),"P0",IF(OR(A84="NVDA",A84="IREN",A84="HOOD"),"P1","P2"))</x:f>
        <x:v>P2</x:v>
      </x:c>
      <x:c r="W84" s="14"/>
      <x:c r="X84" s="14"/>
      <x:c r="Y84" s="14"/>
      <x:c r="Z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 t="n">
        <x:f>IF(K85="Verified",ROUND(H85*0.30+IF(O85="Yes",18,0)+IF(P85="Yes",14,0)+IF(Q85="Yes",14,0)+IF(R85="No",12,0)+IF(S85="Yes",12,0),0),IF(K85="Candidate",MIN(60,H85),IF(K85="Rejected",0,MIN(40,H85))))</x:f>
        <x:v>40</x:v>
      </x:c>
      <x:c r="U85" s="14" t="str">
        <x:f>IF(T85&gt;=80,"Can Use",IF(T85&gt;=65,"Can Use With Confirmation",IF(T85&gt;=50,"Watch Only",IF(T85&gt;=30,"Research Only","Do Not Use"))))</x:f>
        <x:v>Research Only</x:v>
      </x:c>
      <x:c r="V85" s="14" t="str">
        <x:f>IF(OR(A85="CRDO",A85="LITE"),"P0",IF(OR(A85="NVDA",A85="IREN",A85="HOOD"),"P1","P2"))</x:f>
        <x:v>P2</x:v>
      </x:c>
      <x:c r="W85" s="14"/>
      <x:c r="X85" s="14"/>
      <x:c r="Y85" s="14"/>
      <x:c r="Z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 t="n">
        <x:f>IF(K86="Verified",ROUND(H86*0.30+IF(O86="Yes",18,0)+IF(P86="Yes",14,0)+IF(Q86="Yes",14,0)+IF(R86="No",12,0)+IF(S86="Yes",12,0),0),IF(K86="Candidate",MIN(60,H86),IF(K86="Rejected",0,MIN(40,H86))))</x:f>
        <x:v>40</x:v>
      </x:c>
      <x:c r="U86" s="14" t="str">
        <x:f>IF(T86&gt;=80,"Can Use",IF(T86&gt;=65,"Can Use With Confirmation",IF(T86&gt;=50,"Watch Only",IF(T86&gt;=30,"Research Only","Do Not Use"))))</x:f>
        <x:v>Research Only</x:v>
      </x:c>
      <x:c r="V86" s="14" t="str">
        <x:f>IF(OR(A86="CRDO",A86="LITE"),"P0",IF(OR(A86="NVDA",A86="IREN",A86="HOOD"),"P1","P2"))</x:f>
        <x:v>P2</x:v>
      </x:c>
      <x:c r="W86" s="14"/>
      <x:c r="X86" s="14"/>
      <x:c r="Y86" s="14"/>
      <x:c r="Z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 t="n">
        <x:f>IF(K87="Verified",ROUND(H87*0.30+IF(O87="Yes",18,0)+IF(P87="Yes",14,0)+IF(Q87="Yes",14,0)+IF(R87="No",12,0)+IF(S87="Yes",12,0),0),IF(K87="Candidate",MIN(60,H87),IF(K87="Rejected",0,MIN(40,H87))))</x:f>
        <x:v>40</x:v>
      </x:c>
      <x:c r="U87" s="14" t="str">
        <x:f>IF(T87&gt;=80,"Can Use",IF(T87&gt;=65,"Can Use With Confirmation",IF(T87&gt;=50,"Watch Only",IF(T87&gt;=30,"Research Only","Do Not Use"))))</x:f>
        <x:v>Research Only</x:v>
      </x:c>
      <x:c r="V87" s="14" t="str">
        <x:f>IF(OR(A87="CRDO",A87="LITE"),"P0",IF(OR(A87="NVDA",A87="IREN",A87="HOOD"),"P1","P2"))</x:f>
        <x:v>P2</x:v>
      </x:c>
      <x:c r="W87" s="14"/>
      <x:c r="X87" s="14"/>
      <x:c r="Y87" s="14"/>
      <x:c r="Z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 t="n">
        <x:f>IF(K88="Verified",ROUND(H88*0.30+IF(O88="Yes",18,0)+IF(P88="Yes",14,0)+IF(Q88="Yes",14,0)+IF(R88="No",12,0)+IF(S88="Yes",12,0),0),IF(K88="Candidate",MIN(60,H88),IF(K88="Rejected",0,MIN(40,H88))))</x:f>
        <x:v>40</x:v>
      </x:c>
      <x:c r="U88" s="14" t="str">
        <x:f>IF(T88&gt;=80,"Can Use",IF(T88&gt;=65,"Can Use With Confirmation",IF(T88&gt;=50,"Watch Only",IF(T88&gt;=30,"Research Only","Do Not Use"))))</x:f>
        <x:v>Research Only</x:v>
      </x:c>
      <x:c r="V88" s="14" t="str">
        <x:f>IF(OR(A88="CRDO",A88="LITE"),"P0",IF(OR(A88="NVDA",A88="IREN",A88="HOOD"),"P1","P2"))</x:f>
        <x:v>P2</x:v>
      </x:c>
      <x:c r="W88" s="14"/>
      <x:c r="X88" s="14"/>
      <x:c r="Y88" s="14"/>
      <x:c r="Z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 t="n">
        <x:f>IF(K89="Verified",ROUND(H89*0.30+IF(O89="Yes",18,0)+IF(P89="Yes",14,0)+IF(Q89="Yes",14,0)+IF(R89="No",12,0)+IF(S89="Yes",12,0),0),IF(K89="Candidate",MIN(60,H89),IF(K89="Rejected",0,MIN(40,H89))))</x:f>
        <x:v>40</x:v>
      </x:c>
      <x:c r="U89" s="14" t="str">
        <x:f>IF(T89&gt;=80,"Can Use",IF(T89&gt;=65,"Can Use With Confirmation",IF(T89&gt;=50,"Watch Only",IF(T89&gt;=30,"Research Only","Do Not Use"))))</x:f>
        <x:v>Research Only</x:v>
      </x:c>
      <x:c r="V89" s="14" t="str">
        <x:f>IF(OR(A89="CRDO",A89="LITE"),"P0",IF(OR(A89="NVDA",A89="IREN",A89="HOOD"),"P1","P2"))</x:f>
        <x:v>P2</x:v>
      </x:c>
      <x:c r="W89" s="14"/>
      <x:c r="X89" s="14"/>
      <x:c r="Y89" s="14"/>
      <x:c r="Z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 t="n">
        <x:f>IF(K90="Verified",ROUND(H90*0.30+IF(O90="Yes",18,0)+IF(P90="Yes",14,0)+IF(Q90="Yes",14,0)+IF(R90="No",12,0)+IF(S90="Yes",12,0),0),IF(K90="Candidate",MIN(60,H90),IF(K90="Rejected",0,MIN(40,H90))))</x:f>
        <x:v>40</x:v>
      </x:c>
      <x:c r="U90" s="14" t="str">
        <x:f>IF(T90&gt;=80,"Can Use",IF(T90&gt;=65,"Can Use With Confirmation",IF(T90&gt;=50,"Watch Only",IF(T90&gt;=30,"Research Only","Do Not Use"))))</x:f>
        <x:v>Research Only</x:v>
      </x:c>
      <x:c r="V90" s="14" t="str">
        <x:f>IF(OR(A90="CRDO",A90="LITE"),"P0",IF(OR(A90="NVDA",A90="IREN",A90="HOOD"),"P1","P2"))</x:f>
        <x:v>P2</x:v>
      </x:c>
      <x:c r="W90" s="14"/>
      <x:c r="X90" s="14"/>
      <x:c r="Y90" s="14"/>
      <x:c r="Z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 t="n">
        <x:f>IF(K91="Verified",ROUND(H91*0.30+IF(O91="Yes",18,0)+IF(P91="Yes",14,0)+IF(Q91="Yes",14,0)+IF(R91="No",12,0)+IF(S91="Yes",12,0),0),IF(K91="Candidate",MIN(60,H91),IF(K91="Rejected",0,MIN(40,H91))))</x:f>
        <x:v>40</x:v>
      </x:c>
      <x:c r="U91" s="14" t="str">
        <x:f>IF(T91&gt;=80,"Can Use",IF(T91&gt;=65,"Can Use With Confirmation",IF(T91&gt;=50,"Watch Only",IF(T91&gt;=30,"Research Only","Do Not Use"))))</x:f>
        <x:v>Research Only</x:v>
      </x:c>
      <x:c r="V91" s="14" t="str">
        <x:f>IF(OR(A91="CRDO",A91="LITE"),"P0",IF(OR(A91="NVDA",A91="IREN",A91="HOOD"),"P1","P2"))</x:f>
        <x:v>P2</x:v>
      </x:c>
      <x:c r="W91" s="14"/>
      <x:c r="X91" s="14"/>
      <x:c r="Y91" s="14"/>
      <x:c r="Z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 t="n">
        <x:f>IF(K92="Verified",ROUND(H92*0.30+IF(O92="Yes",18,0)+IF(P92="Yes",14,0)+IF(Q92="Yes",14,0)+IF(R92="No",12,0)+IF(S92="Yes",12,0),0),IF(K92="Candidate",MIN(60,H92),IF(K92="Rejected",0,MIN(40,H92))))</x:f>
        <x:v>40</x:v>
      </x:c>
      <x:c r="U92" s="14" t="str">
        <x:f>IF(T92&gt;=80,"Can Use",IF(T92&gt;=65,"Can Use With Confirmation",IF(T92&gt;=50,"Watch Only",IF(T92&gt;=30,"Research Only","Do Not Use"))))</x:f>
        <x:v>Research Only</x:v>
      </x:c>
      <x:c r="V92" s="14" t="str">
        <x:f>IF(OR(A92="CRDO",A92="LITE"),"P0",IF(OR(A92="NVDA",A92="IREN",A92="HOOD"),"P1","P2"))</x:f>
        <x:v>P2</x:v>
      </x:c>
      <x:c r="W92" s="14"/>
      <x:c r="X92" s="14"/>
      <x:c r="Y92" s="14"/>
      <x:c r="Z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 t="n">
        <x:f>IF(K93="Verified",ROUND(H93*0.30+IF(O93="Yes",18,0)+IF(P93="Yes",14,0)+IF(Q93="Yes",14,0)+IF(R93="No",12,0)+IF(S93="Yes",12,0),0),IF(K93="Candidate",MIN(60,H93),IF(K93="Rejected",0,MIN(40,H93))))</x:f>
        <x:v>40</x:v>
      </x:c>
      <x:c r="U93" s="14" t="str">
        <x:f>IF(T93&gt;=80,"Can Use",IF(T93&gt;=65,"Can Use With Confirmation",IF(T93&gt;=50,"Watch Only",IF(T93&gt;=30,"Research Only","Do Not Use"))))</x:f>
        <x:v>Research Only</x:v>
      </x:c>
      <x:c r="V93" s="14" t="str">
        <x:f>IF(OR(A93="CRDO",A93="LITE"),"P0",IF(OR(A93="NVDA",A93="IREN",A93="HOOD"),"P1","P2"))</x:f>
        <x:v>P2</x:v>
      </x:c>
      <x:c r="W93" s="14"/>
      <x:c r="X93" s="14"/>
      <x:c r="Y93" s="14"/>
      <x:c r="Z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 t="n">
        <x:f>IF(K94="Verified",ROUND(H94*0.30+IF(O94="Yes",18,0)+IF(P94="Yes",14,0)+IF(Q94="Yes",14,0)+IF(R94="No",12,0)+IF(S94="Yes",12,0),0),IF(K94="Candidate",MIN(60,H94),IF(K94="Rejected",0,MIN(40,H94))))</x:f>
        <x:v>40</x:v>
      </x:c>
      <x:c r="U94" s="14" t="str">
        <x:f>IF(T94&gt;=80,"Can Use",IF(T94&gt;=65,"Can Use With Confirmation",IF(T94&gt;=50,"Watch Only",IF(T94&gt;=30,"Research Only","Do Not Use"))))</x:f>
        <x:v>Research Only</x:v>
      </x:c>
      <x:c r="V94" s="14" t="str">
        <x:f>IF(OR(A94="CRDO",A94="LITE"),"P0",IF(OR(A94="NVDA",A94="IREN",A94="HOOD"),"P1","P2"))</x:f>
        <x:v>P2</x:v>
      </x:c>
      <x:c r="W94" s="14"/>
      <x:c r="X94" s="14"/>
      <x:c r="Y94" s="14"/>
      <x:c r="Z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 t="n">
        <x:f>IF(K95="Verified",ROUND(H95*0.30+IF(O95="Yes",18,0)+IF(P95="Yes",14,0)+IF(Q95="Yes",14,0)+IF(R95="No",12,0)+IF(S95="Yes",12,0),0),IF(K95="Candidate",MIN(60,H95),IF(K95="Rejected",0,MIN(40,H95))))</x:f>
        <x:v>40</x:v>
      </x:c>
      <x:c r="U95" s="14" t="str">
        <x:f>IF(T95&gt;=80,"Can Use",IF(T95&gt;=65,"Can Use With Confirmation",IF(T95&gt;=50,"Watch Only",IF(T95&gt;=30,"Research Only","Do Not Use"))))</x:f>
        <x:v>Research Only</x:v>
      </x:c>
      <x:c r="V95" s="14" t="str">
        <x:f>IF(OR(A95="CRDO",A95="LITE"),"P0",IF(OR(A95="NVDA",A95="IREN",A95="HOOD"),"P1","P2"))</x:f>
        <x:v>P2</x:v>
      </x:c>
      <x:c r="W95" s="14"/>
      <x:c r="X95" s="14"/>
      <x:c r="Y95" s="14"/>
      <x:c r="Z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 t="n">
        <x:f>IF(K96="Verified",ROUND(H96*0.30+IF(O96="Yes",18,0)+IF(P96="Yes",14,0)+IF(Q96="Yes",14,0)+IF(R96="No",12,0)+IF(S96="Yes",12,0),0),IF(K96="Candidate",MIN(60,H96),IF(K96="Rejected",0,MIN(40,H96))))</x:f>
        <x:v>40</x:v>
      </x:c>
      <x:c r="U96" s="14" t="str">
        <x:f>IF(T96&gt;=80,"Can Use",IF(T96&gt;=65,"Can Use With Confirmation",IF(T96&gt;=50,"Watch Only",IF(T96&gt;=30,"Research Only","Do Not Use"))))</x:f>
        <x:v>Research Only</x:v>
      </x:c>
      <x:c r="V96" s="14" t="str">
        <x:f>IF(OR(A96="CRDO",A96="LITE"),"P0",IF(OR(A96="NVDA",A96="IREN",A96="HOOD"),"P1","P2"))</x:f>
        <x:v>P2</x:v>
      </x:c>
      <x:c r="W96" s="14"/>
      <x:c r="X96" s="14"/>
      <x:c r="Y96" s="14"/>
      <x:c r="Z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 t="n">
        <x:f>IF(K97="Verified",ROUND(H97*0.30+IF(O97="Yes",18,0)+IF(P97="Yes",14,0)+IF(Q97="Yes",14,0)+IF(R97="No",12,0)+IF(S97="Yes",12,0),0),IF(K97="Candidate",MIN(60,H97),IF(K97="Rejected",0,MIN(40,H97))))</x:f>
        <x:v>40</x:v>
      </x:c>
      <x:c r="U97" s="14" t="str">
        <x:f>IF(T97&gt;=80,"Can Use",IF(T97&gt;=65,"Can Use With Confirmation",IF(T97&gt;=50,"Watch Only",IF(T97&gt;=30,"Research Only","Do Not Use"))))</x:f>
        <x:v>Research Only</x:v>
      </x:c>
      <x:c r="V97" s="14" t="str">
        <x:f>IF(OR(A97="CRDO",A97="LITE"),"P0",IF(OR(A97="NVDA",A97="IREN",A97="HOOD"),"P1","P2"))</x:f>
        <x:v>P2</x:v>
      </x:c>
      <x:c r="W97" s="14"/>
      <x:c r="X97" s="14"/>
      <x:c r="Y97" s="14"/>
      <x:c r="Z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 t="n">
        <x:f>IF(K98="Verified",ROUND(H98*0.30+IF(O98="Yes",18,0)+IF(P98="Yes",14,0)+IF(Q98="Yes",14,0)+IF(R98="No",12,0)+IF(S98="Yes",12,0),0),IF(K98="Candidate",MIN(60,H98),IF(K98="Rejected",0,MIN(40,H98))))</x:f>
        <x:v>40</x:v>
      </x:c>
      <x:c r="U98" s="14" t="str">
        <x:f>IF(T98&gt;=80,"Can Use",IF(T98&gt;=65,"Can Use With Confirmation",IF(T98&gt;=50,"Watch Only",IF(T98&gt;=30,"Research Only","Do Not Use"))))</x:f>
        <x:v>Research Only</x:v>
      </x:c>
      <x:c r="V98" s="14" t="str">
        <x:f>IF(OR(A98="CRDO",A98="LITE"),"P0",IF(OR(A98="NVDA",A98="IREN",A98="HOOD"),"P1","P2"))</x:f>
        <x:v>P2</x:v>
      </x:c>
      <x:c r="W98" s="14"/>
      <x:c r="X98" s="14"/>
      <x:c r="Y98" s="14"/>
      <x:c r="Z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 t="n">
        <x:f>IF(K99="Verified",ROUND(H99*0.30+IF(O99="Yes",18,0)+IF(P99="Yes",14,0)+IF(Q99="Yes",14,0)+IF(R99="No",12,0)+IF(S99="Yes",12,0),0),IF(K99="Candidate",MIN(60,H99),IF(K99="Rejected",0,MIN(40,H99))))</x:f>
        <x:v>40</x:v>
      </x:c>
      <x:c r="U99" s="14" t="str">
        <x:f>IF(T99&gt;=80,"Can Use",IF(T99&gt;=65,"Can Use With Confirmation",IF(T99&gt;=50,"Watch Only",IF(T99&gt;=30,"Research Only","Do Not Use"))))</x:f>
        <x:v>Research Only</x:v>
      </x:c>
      <x:c r="V99" s="14" t="str">
        <x:f>IF(OR(A99="CRDO",A99="LITE"),"P0",IF(OR(A99="NVDA",A99="IREN",A99="HOOD"),"P1","P2"))</x:f>
        <x:v>P2</x:v>
      </x:c>
      <x:c r="W99" s="14"/>
      <x:c r="X99" s="14"/>
      <x:c r="Y99" s="14"/>
      <x:c r="Z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 t="n">
        <x:f>IF(K100="Verified",ROUND(H100*0.30+IF(O100="Yes",18,0)+IF(P100="Yes",14,0)+IF(Q100="Yes",14,0)+IF(R100="No",12,0)+IF(S100="Yes",12,0),0),IF(K100="Candidate",MIN(60,H100),IF(K100="Rejected",0,MIN(40,H100))))</x:f>
        <x:v>40</x:v>
      </x:c>
      <x:c r="U100" s="14" t="str">
        <x:f>IF(T100&gt;=80,"Can Use",IF(T100&gt;=65,"Can Use With Confirmation",IF(T100&gt;=50,"Watch Only",IF(T100&gt;=30,"Research Only","Do Not Use"))))</x:f>
        <x:v>Research Only</x:v>
      </x:c>
      <x:c r="V100" s="14" t="str">
        <x:f>IF(OR(A100="CRDO",A100="LITE"),"P0",IF(OR(A100="NVDA",A100="IREN",A100="HOOD"),"P1","P2"))</x:f>
        <x:v>P2</x:v>
      </x:c>
      <x:c r="W100" s="14"/>
      <x:c r="X100" s="14"/>
      <x:c r="Y100" s="14"/>
      <x:c r="Z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 t="n">
        <x:f>IF(K101="Verified",ROUND(H101*0.30+IF(O101="Yes",18,0)+IF(P101="Yes",14,0)+IF(Q101="Yes",14,0)+IF(R101="No",12,0)+IF(S101="Yes",12,0),0),IF(K101="Candidate",MIN(60,H101),IF(K101="Rejected",0,MIN(40,H101))))</x:f>
        <x:v>40</x:v>
      </x:c>
      <x:c r="U101" s="14" t="str">
        <x:f>IF(T101&gt;=80,"Can Use",IF(T101&gt;=65,"Can Use With Confirmation",IF(T101&gt;=50,"Watch Only",IF(T101&gt;=30,"Research Only","Do Not Use"))))</x:f>
        <x:v>Research Only</x:v>
      </x:c>
      <x:c r="V101" s="14" t="str">
        <x:f>IF(OR(A101="CRDO",A101="LITE"),"P0",IF(OR(A101="NVDA",A101="IREN",A101="HOOD"),"P1","P2"))</x:f>
        <x:v>P2</x:v>
      </x:c>
      <x:c r="W101" s="14"/>
      <x:c r="X101" s="14"/>
      <x:c r="Y101" s="14"/>
      <x:c r="Z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 t="n">
        <x:f>IF(K102="Verified",ROUND(H102*0.30+IF(O102="Yes",18,0)+IF(P102="Yes",14,0)+IF(Q102="Yes",14,0)+IF(R102="No",12,0)+IF(S102="Yes",12,0),0),IF(K102="Candidate",MIN(60,H102),IF(K102="Rejected",0,MIN(40,H102))))</x:f>
        <x:v>40</x:v>
      </x:c>
      <x:c r="U102" s="14" t="str">
        <x:f>IF(T102&gt;=80,"Can Use",IF(T102&gt;=65,"Can Use With Confirmation",IF(T102&gt;=50,"Watch Only",IF(T102&gt;=30,"Research Only","Do Not Use"))))</x:f>
        <x:v>Research Only</x:v>
      </x:c>
      <x:c r="V102" s="14" t="str">
        <x:f>IF(OR(A102="CRDO",A102="LITE"),"P0",IF(OR(A102="NVDA",A102="IREN",A102="HOOD"),"P1","P2"))</x:f>
        <x:v>P2</x:v>
      </x:c>
      <x:c r="W102" s="14"/>
      <x:c r="X102" s="14"/>
      <x:c r="Y102" s="14"/>
      <x:c r="Z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 t="n">
        <x:f>IF(K103="Verified",ROUND(H103*0.30+IF(O103="Yes",18,0)+IF(P103="Yes",14,0)+IF(Q103="Yes",14,0)+IF(R103="No",12,0)+IF(S103="Yes",12,0),0),IF(K103="Candidate",MIN(60,H103),IF(K103="Rejected",0,MIN(40,H103))))</x:f>
        <x:v>40</x:v>
      </x:c>
      <x:c r="U103" s="14" t="str">
        <x:f>IF(T103&gt;=80,"Can Use",IF(T103&gt;=65,"Can Use With Confirmation",IF(T103&gt;=50,"Watch Only",IF(T103&gt;=30,"Research Only","Do Not Use"))))</x:f>
        <x:v>Research Only</x:v>
      </x:c>
      <x:c r="V103" s="14" t="str">
        <x:f>IF(OR(A103="CRDO",A103="LITE"),"P0",IF(OR(A103="NVDA",A103="IREN",A103="HOOD"),"P1","P2"))</x:f>
        <x:v>P2</x:v>
      </x:c>
      <x:c r="W103" s="14"/>
      <x:c r="X103" s="14"/>
      <x:c r="Y103" s="14"/>
      <x:c r="Z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 t="n">
        <x:f>IF(K104="Verified",ROUND(H104*0.30+IF(O104="Yes",18,0)+IF(P104="Yes",14,0)+IF(Q104="Yes",14,0)+IF(R104="No",12,0)+IF(S104="Yes",12,0),0),IF(K104="Candidate",MIN(60,H104),IF(K104="Rejected",0,MIN(40,H104))))</x:f>
        <x:v>40</x:v>
      </x:c>
      <x:c r="U104" s="14" t="str">
        <x:f>IF(T104&gt;=80,"Can Use",IF(T104&gt;=65,"Can Use With Confirmation",IF(T104&gt;=50,"Watch Only",IF(T104&gt;=30,"Research Only","Do Not Use"))))</x:f>
        <x:v>Research Only</x:v>
      </x:c>
      <x:c r="V104" s="14" t="str">
        <x:f>IF(OR(A104="CRDO",A104="LITE"),"P0",IF(OR(A104="NVDA",A104="IREN",A104="HOOD"),"P1","P2"))</x:f>
        <x:v>P2</x:v>
      </x:c>
      <x:c r="W104" s="14"/>
      <x:c r="X104" s="14"/>
      <x:c r="Y104" s="14"/>
      <x:c r="Z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 t="n">
        <x:f>IF(K105="Verified",ROUND(H105*0.30+IF(O105="Yes",18,0)+IF(P105="Yes",14,0)+IF(Q105="Yes",14,0)+IF(R105="No",12,0)+IF(S105="Yes",12,0),0),IF(K105="Candidate",MIN(60,H105),IF(K105="Rejected",0,MIN(40,H105))))</x:f>
        <x:v>40</x:v>
      </x:c>
      <x:c r="U105" s="14" t="str">
        <x:f>IF(T105&gt;=80,"Can Use",IF(T105&gt;=65,"Can Use With Confirmation",IF(T105&gt;=50,"Watch Only",IF(T105&gt;=30,"Research Only","Do Not Use"))))</x:f>
        <x:v>Research Only</x:v>
      </x:c>
      <x:c r="V105" s="14" t="str">
        <x:f>IF(OR(A105="CRDO",A105="LITE"),"P0",IF(OR(A105="NVDA",A105="IREN",A105="HOOD"),"P1","P2"))</x:f>
        <x:v>P2</x:v>
      </x:c>
      <x:c r="W105" s="14"/>
      <x:c r="X105" s="14"/>
      <x:c r="Y105" s="14"/>
      <x:c r="Z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 t="n">
        <x:f>IF(K106="Verified",ROUND(H106*0.30+IF(O106="Yes",18,0)+IF(P106="Yes",14,0)+IF(Q106="Yes",14,0)+IF(R106="No",12,0)+IF(S106="Yes",12,0),0),IF(K106="Candidate",MIN(60,H106),IF(K106="Rejected",0,MIN(40,H106))))</x:f>
        <x:v>40</x:v>
      </x:c>
      <x:c r="U106" s="14" t="str">
        <x:f>IF(T106&gt;=80,"Can Use",IF(T106&gt;=65,"Can Use With Confirmation",IF(T106&gt;=50,"Watch Only",IF(T106&gt;=30,"Research Only","Do Not Use"))))</x:f>
        <x:v>Research Only</x:v>
      </x:c>
      <x:c r="V106" s="14" t="str">
        <x:f>IF(OR(A106="CRDO",A106="LITE"),"P0",IF(OR(A106="NVDA",A106="IREN",A106="HOOD"),"P1","P2"))</x:f>
        <x:v>P2</x:v>
      </x:c>
      <x:c r="W106" s="14"/>
      <x:c r="X106" s="14"/>
      <x:c r="Y106" s="14"/>
      <x:c r="Z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 t="n">
        <x:f>IF(K107="Verified",ROUND(H107*0.30+IF(O107="Yes",18,0)+IF(P107="Yes",14,0)+IF(Q107="Yes",14,0)+IF(R107="No",12,0)+IF(S107="Yes",12,0),0),IF(K107="Candidate",MIN(60,H107),IF(K107="Rejected",0,MIN(40,H107))))</x:f>
        <x:v>40</x:v>
      </x:c>
      <x:c r="U107" s="14" t="str">
        <x:f>IF(T107&gt;=80,"Can Use",IF(T107&gt;=65,"Can Use With Confirmation",IF(T107&gt;=50,"Watch Only",IF(T107&gt;=30,"Research Only","Do Not Use"))))</x:f>
        <x:v>Research Only</x:v>
      </x:c>
      <x:c r="V107" s="14" t="str">
        <x:f>IF(OR(A107="CRDO",A107="LITE"),"P0",IF(OR(A107="NVDA",A107="IREN",A107="HOOD"),"P1","P2"))</x:f>
        <x:v>P2</x:v>
      </x:c>
      <x:c r="W107" s="14"/>
      <x:c r="X107" s="14"/>
      <x:c r="Y107" s="14"/>
      <x:c r="Z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 t="n">
        <x:f>IF(K108="Verified",ROUND(H108*0.30+IF(O108="Yes",18,0)+IF(P108="Yes",14,0)+IF(Q108="Yes",14,0)+IF(R108="No",12,0)+IF(S108="Yes",12,0),0),IF(K108="Candidate",MIN(60,H108),IF(K108="Rejected",0,MIN(40,H108))))</x:f>
        <x:v>40</x:v>
      </x:c>
      <x:c r="U108" s="14" t="str">
        <x:f>IF(T108&gt;=80,"Can Use",IF(T108&gt;=65,"Can Use With Confirmation",IF(T108&gt;=50,"Watch Only",IF(T108&gt;=30,"Research Only","Do Not Use"))))</x:f>
        <x:v>Research Only</x:v>
      </x:c>
      <x:c r="V108" s="14" t="str">
        <x:f>IF(OR(A108="CRDO",A108="LITE"),"P0",IF(OR(A108="NVDA",A108="IREN",A108="HOOD"),"P1","P2"))</x:f>
        <x:v>P2</x:v>
      </x:c>
      <x:c r="W108" s="14"/>
      <x:c r="X108" s="14"/>
      <x:c r="Y108" s="14"/>
      <x:c r="Z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 t="n">
        <x:f>IF(K109="Verified",ROUND(H109*0.30+IF(O109="Yes",18,0)+IF(P109="Yes",14,0)+IF(Q109="Yes",14,0)+IF(R109="No",12,0)+IF(S109="Yes",12,0),0),IF(K109="Candidate",MIN(60,H109),IF(K109="Rejected",0,MIN(40,H109))))</x:f>
        <x:v>40</x:v>
      </x:c>
      <x:c r="U109" s="14" t="str">
        <x:f>IF(T109&gt;=80,"Can Use",IF(T109&gt;=65,"Can Use With Confirmation",IF(T109&gt;=50,"Watch Only",IF(T109&gt;=30,"Research Only","Do Not Use"))))</x:f>
        <x:v>Research Only</x:v>
      </x:c>
      <x:c r="V109" s="14" t="str">
        <x:f>IF(OR(A109="CRDO",A109="LITE"),"P0",IF(OR(A109="NVDA",A109="IREN",A109="HOOD"),"P1","P2"))</x:f>
        <x:v>P2</x:v>
      </x:c>
      <x:c r="W109" s="14"/>
      <x:c r="X109" s="14"/>
      <x:c r="Y109" s="14"/>
      <x:c r="Z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 t="n">
        <x:f>IF(K110="Verified",ROUND(H110*0.30+IF(O110="Yes",18,0)+IF(P110="Yes",14,0)+IF(Q110="Yes",14,0)+IF(R110="No",12,0)+IF(S110="Yes",12,0),0),IF(K110="Candidate",MIN(60,H110),IF(K110="Rejected",0,MIN(40,H110))))</x:f>
        <x:v>40</x:v>
      </x:c>
      <x:c r="U110" s="14" t="str">
        <x:f>IF(T110&gt;=80,"Can Use",IF(T110&gt;=65,"Can Use With Confirmation",IF(T110&gt;=50,"Watch Only",IF(T110&gt;=30,"Research Only","Do Not Use"))))</x:f>
        <x:v>Research Only</x:v>
      </x:c>
      <x:c r="V110" s="14" t="str">
        <x:f>IF(OR(A110="CRDO",A110="LITE"),"P0",IF(OR(A110="NVDA",A110="IREN",A110="HOOD"),"P1","P2"))</x:f>
        <x:v>P2</x:v>
      </x:c>
      <x:c r="W110" s="14"/>
      <x:c r="X110" s="14"/>
      <x:c r="Y110" s="14"/>
      <x:c r="Z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 t="n">
        <x:f>IF(K111="Verified",ROUND(H111*0.30+IF(O111="Yes",18,0)+IF(P111="Yes",14,0)+IF(Q111="Yes",14,0)+IF(R111="No",12,0)+IF(S111="Yes",12,0),0),IF(K111="Candidate",MIN(60,H111),IF(K111="Rejected",0,MIN(40,H111))))</x:f>
        <x:v>40</x:v>
      </x:c>
      <x:c r="U111" s="14" t="str">
        <x:f>IF(T111&gt;=80,"Can Use",IF(T111&gt;=65,"Can Use With Confirmation",IF(T111&gt;=50,"Watch Only",IF(T111&gt;=30,"Research Only","Do Not Use"))))</x:f>
        <x:v>Research Only</x:v>
      </x:c>
      <x:c r="V111" s="14" t="str">
        <x:f>IF(OR(A111="CRDO",A111="LITE"),"P0",IF(OR(A111="NVDA",A111="IREN",A111="HOOD"),"P1","P2"))</x:f>
        <x:v>P2</x:v>
      </x:c>
      <x:c r="W111" s="14"/>
      <x:c r="X111" s="14"/>
      <x:c r="Y111" s="14"/>
      <x:c r="Z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 t="n">
        <x:f>IF(K112="Verified",ROUND(H112*0.30+IF(O112="Yes",18,0)+IF(P112="Yes",14,0)+IF(Q112="Yes",14,0)+IF(R112="No",12,0)+IF(S112="Yes",12,0),0),IF(K112="Candidate",MIN(60,H112),IF(K112="Rejected",0,MIN(40,H112))))</x:f>
        <x:v>40</x:v>
      </x:c>
      <x:c r="U112" s="14" t="str">
        <x:f>IF(T112&gt;=80,"Can Use",IF(T112&gt;=65,"Can Use With Confirmation",IF(T112&gt;=50,"Watch Only",IF(T112&gt;=30,"Research Only","Do Not Use"))))</x:f>
        <x:v>Research Only</x:v>
      </x:c>
      <x:c r="V112" s="14" t="str">
        <x:f>IF(OR(A112="CRDO",A112="LITE"),"P0",IF(OR(A112="NVDA",A112="IREN",A112="HOOD"),"P1","P2"))</x:f>
        <x:v>P2</x:v>
      </x:c>
      <x:c r="W112" s="14"/>
      <x:c r="X112" s="14"/>
      <x:c r="Y112" s="14"/>
      <x:c r="Z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 t="n">
        <x:f>IF(K113="Verified",ROUND(H113*0.30+IF(O113="Yes",18,0)+IF(P113="Yes",14,0)+IF(Q113="Yes",14,0)+IF(R113="No",12,0)+IF(S113="Yes",12,0),0),IF(K113="Candidate",MIN(60,H113),IF(K113="Rejected",0,MIN(40,H113))))</x:f>
        <x:v>40</x:v>
      </x:c>
      <x:c r="U113" s="14" t="str">
        <x:f>IF(T113&gt;=80,"Can Use",IF(T113&gt;=65,"Can Use With Confirmation",IF(T113&gt;=50,"Watch Only",IF(T113&gt;=30,"Research Only","Do Not Use"))))</x:f>
        <x:v>Research Only</x:v>
      </x:c>
      <x:c r="V113" s="14" t="str">
        <x:f>IF(OR(A113="CRDO",A113="LITE"),"P0",IF(OR(A113="NVDA",A113="IREN",A113="HOOD"),"P1","P2"))</x:f>
        <x:v>P2</x:v>
      </x:c>
      <x:c r="W113" s="14"/>
      <x:c r="X113" s="14"/>
      <x:c r="Y113" s="14"/>
      <x:c r="Z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 t="n">
        <x:f>IF(K114="Verified",ROUND(H114*0.30+IF(O114="Yes",18,0)+IF(P114="Yes",14,0)+IF(Q114="Yes",14,0)+IF(R114="No",12,0)+IF(S114="Yes",12,0),0),IF(K114="Candidate",MIN(60,H114),IF(K114="Rejected",0,MIN(40,H114))))</x:f>
        <x:v>40</x:v>
      </x:c>
      <x:c r="U114" s="14" t="str">
        <x:f>IF(T114&gt;=80,"Can Use",IF(T114&gt;=65,"Can Use With Confirmation",IF(T114&gt;=50,"Watch Only",IF(T114&gt;=30,"Research Only","Do Not Use"))))</x:f>
        <x:v>Research Only</x:v>
      </x:c>
      <x:c r="V114" s="14" t="str">
        <x:f>IF(OR(A114="CRDO",A114="LITE"),"P0",IF(OR(A114="NVDA",A114="IREN",A114="HOOD"),"P1","P2"))</x:f>
        <x:v>P2</x:v>
      </x:c>
      <x:c r="W114" s="14"/>
      <x:c r="X114" s="14"/>
      <x:c r="Y114" s="14"/>
      <x:c r="Z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 t="n">
        <x:f>IF(K115="Verified",ROUND(H115*0.30+IF(O115="Yes",18,0)+IF(P115="Yes",14,0)+IF(Q115="Yes",14,0)+IF(R115="No",12,0)+IF(S115="Yes",12,0),0),IF(K115="Candidate",MIN(60,H115),IF(K115="Rejected",0,MIN(40,H115))))</x:f>
        <x:v>40</x:v>
      </x:c>
      <x:c r="U115" s="14" t="str">
        <x:f>IF(T115&gt;=80,"Can Use",IF(T115&gt;=65,"Can Use With Confirmation",IF(T115&gt;=50,"Watch Only",IF(T115&gt;=30,"Research Only","Do Not Use"))))</x:f>
        <x:v>Research Only</x:v>
      </x:c>
      <x:c r="V115" s="14" t="str">
        <x:f>IF(OR(A115="CRDO",A115="LITE"),"P0",IF(OR(A115="NVDA",A115="IREN",A115="HOOD"),"P1","P2"))</x:f>
        <x:v>P2</x:v>
      </x:c>
      <x:c r="W115" s="14"/>
      <x:c r="X115" s="14"/>
      <x:c r="Y115" s="14"/>
      <x:c r="Z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 t="n">
        <x:f>IF(K116="Verified",ROUND(H116*0.30+IF(O116="Yes",18,0)+IF(P116="Yes",14,0)+IF(Q116="Yes",14,0)+IF(R116="No",12,0)+IF(S116="Yes",12,0),0),IF(K116="Candidate",MIN(60,H116),IF(K116="Rejected",0,MIN(40,H116))))</x:f>
        <x:v>40</x:v>
      </x:c>
      <x:c r="U116" s="14" t="str">
        <x:f>IF(T116&gt;=80,"Can Use",IF(T116&gt;=65,"Can Use With Confirmation",IF(T116&gt;=50,"Watch Only",IF(T116&gt;=30,"Research Only","Do Not Use"))))</x:f>
        <x:v>Research Only</x:v>
      </x:c>
      <x:c r="V116" s="14" t="str">
        <x:f>IF(OR(A116="CRDO",A116="LITE"),"P0",IF(OR(A116="NVDA",A116="IREN",A116="HOOD"),"P1","P2"))</x:f>
        <x:v>P2</x:v>
      </x:c>
      <x:c r="W116" s="14"/>
      <x:c r="X116" s="14"/>
      <x:c r="Y116" s="14"/>
      <x:c r="Z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 t="n">
        <x:f>IF(K117="Verified",ROUND(H117*0.30+IF(O117="Yes",18,0)+IF(P117="Yes",14,0)+IF(Q117="Yes",14,0)+IF(R117="No",12,0)+IF(S117="Yes",12,0),0),IF(K117="Candidate",MIN(60,H117),IF(K117="Rejected",0,MIN(40,H117))))</x:f>
        <x:v>40</x:v>
      </x:c>
      <x:c r="U117" s="14" t="str">
        <x:f>IF(T117&gt;=80,"Can Use",IF(T117&gt;=65,"Can Use With Confirmation",IF(T117&gt;=50,"Watch Only",IF(T117&gt;=30,"Research Only","Do Not Use"))))</x:f>
        <x:v>Research Only</x:v>
      </x:c>
      <x:c r="V117" s="14" t="str">
        <x:f>IF(OR(A117="CRDO",A117="LITE"),"P0",IF(OR(A117="NVDA",A117="IREN",A117="HOOD"),"P1","P2"))</x:f>
        <x:v>P2</x:v>
      </x:c>
      <x:c r="W117" s="14"/>
      <x:c r="X117" s="14"/>
      <x:c r="Y117" s="14"/>
      <x:c r="Z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 t="n">
        <x:f>IF(K118="Verified",ROUND(H118*0.30+IF(O118="Yes",18,0)+IF(P118="Yes",14,0)+IF(Q118="Yes",14,0)+IF(R118="No",12,0)+IF(S118="Yes",12,0),0),IF(K118="Candidate",MIN(60,H118),IF(K118="Rejected",0,MIN(40,H118))))</x:f>
        <x:v>40</x:v>
      </x:c>
      <x:c r="U118" s="14" t="str">
        <x:f>IF(T118&gt;=80,"Can Use",IF(T118&gt;=65,"Can Use With Confirmation",IF(T118&gt;=50,"Watch Only",IF(T118&gt;=30,"Research Only","Do Not Use"))))</x:f>
        <x:v>Research Only</x:v>
      </x:c>
      <x:c r="V118" s="14" t="str">
        <x:f>IF(OR(A118="CRDO",A118="LITE"),"P0",IF(OR(A118="NVDA",A118="IREN",A118="HOOD"),"P1","P2"))</x:f>
        <x:v>P2</x:v>
      </x:c>
      <x:c r="W118" s="14"/>
      <x:c r="X118" s="14"/>
      <x:c r="Y118" s="14"/>
      <x:c r="Z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 t="n">
        <x:f>IF(K119="Verified",ROUND(H119*0.30+IF(O119="Yes",18,0)+IF(P119="Yes",14,0)+IF(Q119="Yes",14,0)+IF(R119="No",12,0)+IF(S119="Yes",12,0),0),IF(K119="Candidate",MIN(60,H119),IF(K119="Rejected",0,MIN(40,H119))))</x:f>
        <x:v>40</x:v>
      </x:c>
      <x:c r="U119" s="14" t="str">
        <x:f>IF(T119&gt;=80,"Can Use",IF(T119&gt;=65,"Can Use With Confirmation",IF(T119&gt;=50,"Watch Only",IF(T119&gt;=30,"Research Only","Do Not Use"))))</x:f>
        <x:v>Research Only</x:v>
      </x:c>
      <x:c r="V119" s="14" t="str">
        <x:f>IF(OR(A119="CRDO",A119="LITE"),"P0",IF(OR(A119="NVDA",A119="IREN",A119="HOOD"),"P1","P2"))</x:f>
        <x:v>P2</x:v>
      </x:c>
      <x:c r="W119" s="14"/>
      <x:c r="X119" s="14"/>
      <x:c r="Y119" s="14"/>
      <x:c r="Z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 t="n">
        <x:f>IF(K120="Verified",ROUND(H120*0.30+IF(O120="Yes",18,0)+IF(P120="Yes",14,0)+IF(Q120="Yes",14,0)+IF(R120="No",12,0)+IF(S120="Yes",12,0),0),IF(K120="Candidate",MIN(60,H120),IF(K120="Rejected",0,MIN(40,H120))))</x:f>
        <x:v>40</x:v>
      </x:c>
      <x:c r="U120" s="14" t="str">
        <x:f>IF(T120&gt;=80,"Can Use",IF(T120&gt;=65,"Can Use With Confirmation",IF(T120&gt;=50,"Watch Only",IF(T120&gt;=30,"Research Only","Do Not Use"))))</x:f>
        <x:v>Research Only</x:v>
      </x:c>
      <x:c r="V120" s="14" t="str">
        <x:f>IF(OR(A120="CRDO",A120="LITE"),"P0",IF(OR(A120="NVDA",A120="IREN",A120="HOOD"),"P1","P2"))</x:f>
        <x:v>P2</x:v>
      </x:c>
      <x:c r="W120" s="14"/>
      <x:c r="X120" s="14"/>
      <x:c r="Y120" s="14"/>
      <x:c r="Z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 t="n">
        <x:f>IF(K121="Verified",ROUND(H121*0.30+IF(O121="Yes",18,0)+IF(P121="Yes",14,0)+IF(Q121="Yes",14,0)+IF(R121="No",12,0)+IF(S121="Yes",12,0),0),IF(K121="Candidate",MIN(60,H121),IF(K121="Rejected",0,MIN(40,H121))))</x:f>
        <x:v>40</x:v>
      </x:c>
      <x:c r="U121" s="14" t="str">
        <x:f>IF(T121&gt;=80,"Can Use",IF(T121&gt;=65,"Can Use With Confirmation",IF(T121&gt;=50,"Watch Only",IF(T121&gt;=30,"Research Only","Do Not Use"))))</x:f>
        <x:v>Research Only</x:v>
      </x:c>
      <x:c r="V121" s="14" t="str">
        <x:f>IF(OR(A121="CRDO",A121="LITE"),"P0",IF(OR(A121="NVDA",A121="IREN",A121="HOOD"),"P1","P2"))</x:f>
        <x:v>P2</x:v>
      </x:c>
      <x:c r="W121" s="14"/>
      <x:c r="X121" s="14"/>
      <x:c r="Y121" s="14"/>
      <x:c r="Z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 t="n">
        <x:f>IF(K122="Verified",ROUND(H122*0.30+IF(O122="Yes",18,0)+IF(P122="Yes",14,0)+IF(Q122="Yes",14,0)+IF(R122="No",12,0)+IF(S122="Yes",12,0),0),IF(K122="Candidate",MIN(60,H122),IF(K122="Rejected",0,MIN(40,H122))))</x:f>
        <x:v>40</x:v>
      </x:c>
      <x:c r="U122" s="14" t="str">
        <x:f>IF(T122&gt;=80,"Can Use",IF(T122&gt;=65,"Can Use With Confirmation",IF(T122&gt;=50,"Watch Only",IF(T122&gt;=30,"Research Only","Do Not Use"))))</x:f>
        <x:v>Research Only</x:v>
      </x:c>
      <x:c r="V122" s="14" t="str">
        <x:f>IF(OR(A122="CRDO",A122="LITE"),"P0",IF(OR(A122="NVDA",A122="IREN",A122="HOOD"),"P1","P2"))</x:f>
        <x:v>P2</x:v>
      </x:c>
      <x:c r="W122" s="14"/>
      <x:c r="X122" s="14"/>
      <x:c r="Y122" s="14"/>
      <x:c r="Z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 t="n">
        <x:f>IF(K123="Verified",ROUND(H123*0.30+IF(O123="Yes",18,0)+IF(P123="Yes",14,0)+IF(Q123="Yes",14,0)+IF(R123="No",12,0)+IF(S123="Yes",12,0),0),IF(K123="Candidate",MIN(60,H123),IF(K123="Rejected",0,MIN(40,H123))))</x:f>
        <x:v>40</x:v>
      </x:c>
      <x:c r="U123" s="14" t="str">
        <x:f>IF(T123&gt;=80,"Can Use",IF(T123&gt;=65,"Can Use With Confirmation",IF(T123&gt;=50,"Watch Only",IF(T123&gt;=30,"Research Only","Do Not Use"))))</x:f>
        <x:v>Research Only</x:v>
      </x:c>
      <x:c r="V123" s="14" t="str">
        <x:f>IF(OR(A123="CRDO",A123="LITE"),"P0",IF(OR(A123="NVDA",A123="IREN",A123="HOOD"),"P1","P2"))</x:f>
        <x:v>P2</x:v>
      </x:c>
      <x:c r="W123" s="14"/>
      <x:c r="X123" s="14"/>
      <x:c r="Y123" s="14"/>
      <x:c r="Z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 t="n">
        <x:f>IF(K124="Verified",ROUND(H124*0.30+IF(O124="Yes",18,0)+IF(P124="Yes",14,0)+IF(Q124="Yes",14,0)+IF(R124="No",12,0)+IF(S124="Yes",12,0),0),IF(K124="Candidate",MIN(60,H124),IF(K124="Rejected",0,MIN(40,H124))))</x:f>
        <x:v>40</x:v>
      </x:c>
      <x:c r="U124" s="14" t="str">
        <x:f>IF(T124&gt;=80,"Can Use",IF(T124&gt;=65,"Can Use With Confirmation",IF(T124&gt;=50,"Watch Only",IF(T124&gt;=30,"Research Only","Do Not Use"))))</x:f>
        <x:v>Research Only</x:v>
      </x:c>
      <x:c r="V124" s="14" t="str">
        <x:f>IF(OR(A124="CRDO",A124="LITE"),"P0",IF(OR(A124="NVDA",A124="IREN",A124="HOOD"),"P1","P2"))</x:f>
        <x:v>P2</x:v>
      </x:c>
      <x:c r="W124" s="14"/>
      <x:c r="X124" s="14"/>
      <x:c r="Y124" s="14"/>
      <x:c r="Z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 t="n">
        <x:f>IF(K125="Verified",ROUND(H125*0.30+IF(O125="Yes",18,0)+IF(P125="Yes",14,0)+IF(Q125="Yes",14,0)+IF(R125="No",12,0)+IF(S125="Yes",12,0),0),IF(K125="Candidate",MIN(60,H125),IF(K125="Rejected",0,MIN(40,H125))))</x:f>
        <x:v>40</x:v>
      </x:c>
      <x:c r="U125" s="14" t="str">
        <x:f>IF(T125&gt;=80,"Can Use",IF(T125&gt;=65,"Can Use With Confirmation",IF(T125&gt;=50,"Watch Only",IF(T125&gt;=30,"Research Only","Do Not Use"))))</x:f>
        <x:v>Research Only</x:v>
      </x:c>
      <x:c r="V125" s="14" t="str">
        <x:f>IF(OR(A125="CRDO",A125="LITE"),"P0",IF(OR(A125="NVDA",A125="IREN",A125="HOOD"),"P1","P2"))</x:f>
        <x:v>P2</x:v>
      </x:c>
      <x:c r="W125" s="14"/>
      <x:c r="X125" s="14"/>
      <x:c r="Y125" s="14"/>
      <x:c r="Z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 t="n">
        <x:f>IF(K126="Verified",ROUND(H126*0.30+IF(O126="Yes",18,0)+IF(P126="Yes",14,0)+IF(Q126="Yes",14,0)+IF(R126="No",12,0)+IF(S126="Yes",12,0),0),IF(K126="Candidate",MIN(60,H126),IF(K126="Rejected",0,MIN(40,H126))))</x:f>
        <x:v>40</x:v>
      </x:c>
      <x:c r="U126" s="14" t="str">
        <x:f>IF(T126&gt;=80,"Can Use",IF(T126&gt;=65,"Can Use With Confirmation",IF(T126&gt;=50,"Watch Only",IF(T126&gt;=30,"Research Only","Do Not Use"))))</x:f>
        <x:v>Research Only</x:v>
      </x:c>
      <x:c r="V126" s="14" t="str">
        <x:f>IF(OR(A126="CRDO",A126="LITE"),"P0",IF(OR(A126="NVDA",A126="IREN",A126="HOOD"),"P1","P2"))</x:f>
        <x:v>P2</x:v>
      </x:c>
      <x:c r="W126" s="14"/>
      <x:c r="X126" s="14"/>
      <x:c r="Y126" s="14"/>
      <x:c r="Z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 t="n">
        <x:f>IF(K127="Verified",ROUND(H127*0.30+IF(O127="Yes",18,0)+IF(P127="Yes",14,0)+IF(Q127="Yes",14,0)+IF(R127="No",12,0)+IF(S127="Yes",12,0),0),IF(K127="Candidate",MIN(60,H127),IF(K127="Rejected",0,MIN(40,H127))))</x:f>
        <x:v>40</x:v>
      </x:c>
      <x:c r="U127" s="14" t="str">
        <x:f>IF(T127&gt;=80,"Can Use",IF(T127&gt;=65,"Can Use With Confirmation",IF(T127&gt;=50,"Watch Only",IF(T127&gt;=30,"Research Only","Do Not Use"))))</x:f>
        <x:v>Research Only</x:v>
      </x:c>
      <x:c r="V127" s="14" t="str">
        <x:f>IF(OR(A127="CRDO",A127="LITE"),"P0",IF(OR(A127="NVDA",A127="IREN",A127="HOOD"),"P1","P2"))</x:f>
        <x:v>P2</x:v>
      </x:c>
      <x:c r="W127" s="14"/>
      <x:c r="X127" s="14"/>
      <x:c r="Y127" s="14"/>
      <x:c r="Z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 t="n">
        <x:f>IF(K128="Verified",ROUND(H128*0.30+IF(O128="Yes",18,0)+IF(P128="Yes",14,0)+IF(Q128="Yes",14,0)+IF(R128="No",12,0)+IF(S128="Yes",12,0),0),IF(K128="Candidate",MIN(60,H128),IF(K128="Rejected",0,MIN(40,H128))))</x:f>
        <x:v>40</x:v>
      </x:c>
      <x:c r="U128" s="14" t="str">
        <x:f>IF(T128&gt;=80,"Can Use",IF(T128&gt;=65,"Can Use With Confirmation",IF(T128&gt;=50,"Watch Only",IF(T128&gt;=30,"Research Only","Do Not Use"))))</x:f>
        <x:v>Research Only</x:v>
      </x:c>
      <x:c r="V128" s="14" t="str">
        <x:f>IF(OR(A128="CRDO",A128="LITE"),"P0",IF(OR(A128="NVDA",A128="IREN",A128="HOOD"),"P1","P2"))</x:f>
        <x:v>P2</x:v>
      </x:c>
      <x:c r="W128" s="14"/>
      <x:c r="X128" s="14"/>
      <x:c r="Y128" s="14"/>
      <x:c r="Z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 t="n">
        <x:f>IF(K129="Verified",ROUND(H129*0.30+IF(O129="Yes",18,0)+IF(P129="Yes",14,0)+IF(Q129="Yes",14,0)+IF(R129="No",12,0)+IF(S129="Yes",12,0),0),IF(K129="Candidate",MIN(60,H129),IF(K129="Rejected",0,MIN(40,H129))))</x:f>
        <x:v>40</x:v>
      </x:c>
      <x:c r="U129" s="14" t="str">
        <x:f>IF(T129&gt;=80,"Can Use",IF(T129&gt;=65,"Can Use With Confirmation",IF(T129&gt;=50,"Watch Only",IF(T129&gt;=30,"Research Only","Do Not Use"))))</x:f>
        <x:v>Research Only</x:v>
      </x:c>
      <x:c r="V129" s="14" t="str">
        <x:f>IF(OR(A129="CRDO",A129="LITE"),"P0",IF(OR(A129="NVDA",A129="IREN",A129="HOOD"),"P1","P2"))</x:f>
        <x:v>P2</x:v>
      </x:c>
      <x:c r="W129" s="14"/>
      <x:c r="X129" s="14"/>
      <x:c r="Y129" s="14"/>
      <x:c r="Z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 t="n">
        <x:f>IF(K130="Verified",ROUND(H130*0.30+IF(O130="Yes",18,0)+IF(P130="Yes",14,0)+IF(Q130="Yes",14,0)+IF(R130="No",12,0)+IF(S130="Yes",12,0),0),IF(K130="Candidate",MIN(60,H130),IF(K130="Rejected",0,MIN(40,H130))))</x:f>
        <x:v>40</x:v>
      </x:c>
      <x:c r="U130" s="14" t="str">
        <x:f>IF(T130&gt;=80,"Can Use",IF(T130&gt;=65,"Can Use With Confirmation",IF(T130&gt;=50,"Watch Only",IF(T130&gt;=30,"Research Only","Do Not Use"))))</x:f>
        <x:v>Research Only</x:v>
      </x:c>
      <x:c r="V130" s="14" t="str">
        <x:f>IF(OR(A130="CRDO",A130="LITE"),"P0",IF(OR(A130="NVDA",A130="IREN",A130="HOOD"),"P1","P2"))</x:f>
        <x:v>P2</x:v>
      </x:c>
      <x:c r="W130" s="14"/>
      <x:c r="X130" s="14"/>
      <x:c r="Y130" s="14"/>
      <x:c r="Z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 t="n">
        <x:f>IF(K131="Verified",ROUND(H131*0.30+IF(O131="Yes",18,0)+IF(P131="Yes",14,0)+IF(Q131="Yes",14,0)+IF(R131="No",12,0)+IF(S131="Yes",12,0),0),IF(K131="Candidate",MIN(60,H131),IF(K131="Rejected",0,MIN(40,H131))))</x:f>
        <x:v>40</x:v>
      </x:c>
      <x:c r="U131" s="14" t="str">
        <x:f>IF(T131&gt;=80,"Can Use",IF(T131&gt;=65,"Can Use With Confirmation",IF(T131&gt;=50,"Watch Only",IF(T131&gt;=30,"Research Only","Do Not Use"))))</x:f>
        <x:v>Research Only</x:v>
      </x:c>
      <x:c r="V131" s="14" t="str">
        <x:f>IF(OR(A131="CRDO",A131="LITE"),"P0",IF(OR(A131="NVDA",A131="IREN",A131="HOOD"),"P1","P2"))</x:f>
        <x:v>P2</x:v>
      </x:c>
      <x:c r="W131" s="14"/>
      <x:c r="X131" s="14"/>
      <x:c r="Y131" s="14"/>
      <x:c r="Z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 t="n">
        <x:f>IF(K132="Verified",ROUND(H132*0.30+IF(O132="Yes",18,0)+IF(P132="Yes",14,0)+IF(Q132="Yes",14,0)+IF(R132="No",12,0)+IF(S132="Yes",12,0),0),IF(K132="Candidate",MIN(60,H132),IF(K132="Rejected",0,MIN(40,H132))))</x:f>
        <x:v>40</x:v>
      </x:c>
      <x:c r="U132" s="14" t="str">
        <x:f>IF(T132&gt;=80,"Can Use",IF(T132&gt;=65,"Can Use With Confirmation",IF(T132&gt;=50,"Watch Only",IF(T132&gt;=30,"Research Only","Do Not Use"))))</x:f>
        <x:v>Research Only</x:v>
      </x:c>
      <x:c r="V132" s="14" t="str">
        <x:f>IF(OR(A132="CRDO",A132="LITE"),"P0",IF(OR(A132="NVDA",A132="IREN",A132="HOOD"),"P1","P2"))</x:f>
        <x:v>P2</x:v>
      </x:c>
      <x:c r="W132" s="14"/>
      <x:c r="X132" s="14"/>
      <x:c r="Y132" s="14"/>
      <x:c r="Z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 t="n">
        <x:f>IF(K133="Verified",ROUND(H133*0.30+IF(O133="Yes",18,0)+IF(P133="Yes",14,0)+IF(Q133="Yes",14,0)+IF(R133="No",12,0)+IF(S133="Yes",12,0),0),IF(K133="Candidate",MIN(60,H133),IF(K133="Rejected",0,MIN(40,H133))))</x:f>
        <x:v>40</x:v>
      </x:c>
      <x:c r="U133" s="14" t="str">
        <x:f>IF(T133&gt;=80,"Can Use",IF(T133&gt;=65,"Can Use With Confirmation",IF(T133&gt;=50,"Watch Only",IF(T133&gt;=30,"Research Only","Do Not Use"))))</x:f>
        <x:v>Research Only</x:v>
      </x:c>
      <x:c r="V133" s="14" t="str">
        <x:f>IF(OR(A133="CRDO",A133="LITE"),"P0",IF(OR(A133="NVDA",A133="IREN",A133="HOOD"),"P1","P2"))</x:f>
        <x:v>P2</x:v>
      </x:c>
      <x:c r="W133" s="14"/>
      <x:c r="X133" s="14"/>
      <x:c r="Y133" s="14"/>
      <x:c r="Z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 t="n">
        <x:f>IF(K134="Verified",ROUND(H134*0.30+IF(O134="Yes",18,0)+IF(P134="Yes",14,0)+IF(Q134="Yes",14,0)+IF(R134="No",12,0)+IF(S134="Yes",12,0),0),IF(K134="Candidate",MIN(60,H134),IF(K134="Rejected",0,MIN(40,H134))))</x:f>
        <x:v>40</x:v>
      </x:c>
      <x:c r="U134" s="14" t="str">
        <x:f>IF(T134&gt;=80,"Can Use",IF(T134&gt;=65,"Can Use With Confirmation",IF(T134&gt;=50,"Watch Only",IF(T134&gt;=30,"Research Only","Do Not Use"))))</x:f>
        <x:v>Research Only</x:v>
      </x:c>
      <x:c r="V134" s="14" t="str">
        <x:f>IF(OR(A134="CRDO",A134="LITE"),"P0",IF(OR(A134="NVDA",A134="IREN",A134="HOOD"),"P1","P2"))</x:f>
        <x:v>P2</x:v>
      </x:c>
      <x:c r="W134" s="14"/>
      <x:c r="X134" s="14"/>
      <x:c r="Y134" s="14"/>
      <x:c r="Z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 t="n">
        <x:f>IF(K135="Verified",ROUND(H135*0.30+IF(O135="Yes",18,0)+IF(P135="Yes",14,0)+IF(Q135="Yes",14,0)+IF(R135="No",12,0)+IF(S135="Yes",12,0),0),IF(K135="Candidate",MIN(60,H135),IF(K135="Rejected",0,MIN(40,H135))))</x:f>
        <x:v>40</x:v>
      </x:c>
      <x:c r="U135" s="14" t="str">
        <x:f>IF(T135&gt;=80,"Can Use",IF(T135&gt;=65,"Can Use With Confirmation",IF(T135&gt;=50,"Watch Only",IF(T135&gt;=30,"Research Only","Do Not Use"))))</x:f>
        <x:v>Research Only</x:v>
      </x:c>
      <x:c r="V135" s="14" t="str">
        <x:f>IF(OR(A135="CRDO",A135="LITE"),"P0",IF(OR(A135="NVDA",A135="IREN",A135="HOOD"),"P1","P2"))</x:f>
        <x:v>P2</x:v>
      </x:c>
      <x:c r="W135" s="14"/>
      <x:c r="X135" s="14"/>
      <x:c r="Y135" s="14"/>
      <x:c r="Z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 t="n">
        <x:f>IF(K136="Verified",ROUND(H136*0.30+IF(O136="Yes",18,0)+IF(P136="Yes",14,0)+IF(Q136="Yes",14,0)+IF(R136="No",12,0)+IF(S136="Yes",12,0),0),IF(K136="Candidate",MIN(60,H136),IF(K136="Rejected",0,MIN(40,H136))))</x:f>
        <x:v>40</x:v>
      </x:c>
      <x:c r="U136" s="14" t="str">
        <x:f>IF(T136&gt;=80,"Can Use",IF(T136&gt;=65,"Can Use With Confirmation",IF(T136&gt;=50,"Watch Only",IF(T136&gt;=30,"Research Only","Do Not Use"))))</x:f>
        <x:v>Research Only</x:v>
      </x:c>
      <x:c r="V136" s="14" t="str">
        <x:f>IF(OR(A136="CRDO",A136="LITE"),"P0",IF(OR(A136="NVDA",A136="IREN",A136="HOOD"),"P1","P2"))</x:f>
        <x:v>P2</x:v>
      </x:c>
      <x:c r="W136" s="14"/>
      <x:c r="X136" s="14"/>
      <x:c r="Y136" s="14"/>
      <x:c r="Z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 t="n">
        <x:f>IF(K137="Verified",ROUND(H137*0.30+IF(O137="Yes",18,0)+IF(P137="Yes",14,0)+IF(Q137="Yes",14,0)+IF(R137="No",12,0)+IF(S137="Yes",12,0),0),IF(K137="Candidate",MIN(60,H137),IF(K137="Rejected",0,MIN(40,H137))))</x:f>
        <x:v>40</x:v>
      </x:c>
      <x:c r="U137" s="14" t="str">
        <x:f>IF(T137&gt;=80,"Can Use",IF(T137&gt;=65,"Can Use With Confirmation",IF(T137&gt;=50,"Watch Only",IF(T137&gt;=30,"Research Only","Do Not Use"))))</x:f>
        <x:v>Research Only</x:v>
      </x:c>
      <x:c r="V137" s="14" t="str">
        <x:f>IF(OR(A137="CRDO",A137="LITE"),"P0",IF(OR(A137="NVDA",A137="IREN",A137="HOOD"),"P1","P2"))</x:f>
        <x:v>P2</x:v>
      </x:c>
      <x:c r="W137" s="14"/>
      <x:c r="X137" s="14"/>
      <x:c r="Y137" s="14"/>
      <x:c r="Z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 t="n">
        <x:f>IF(K138="Verified",ROUND(H138*0.30+IF(O138="Yes",18,0)+IF(P138="Yes",14,0)+IF(Q138="Yes",14,0)+IF(R138="No",12,0)+IF(S138="Yes",12,0),0),IF(K138="Candidate",MIN(60,H138),IF(K138="Rejected",0,MIN(40,H138))))</x:f>
        <x:v>40</x:v>
      </x:c>
      <x:c r="U138" s="14" t="str">
        <x:f>IF(T138&gt;=80,"Can Use",IF(T138&gt;=65,"Can Use With Confirmation",IF(T138&gt;=50,"Watch Only",IF(T138&gt;=30,"Research Only","Do Not Use"))))</x:f>
        <x:v>Research Only</x:v>
      </x:c>
      <x:c r="V138" s="14" t="str">
        <x:f>IF(OR(A138="CRDO",A138="LITE"),"P0",IF(OR(A138="NVDA",A138="IREN",A138="HOOD"),"P1","P2"))</x:f>
        <x:v>P2</x:v>
      </x:c>
      <x:c r="W138" s="14"/>
      <x:c r="X138" s="14"/>
      <x:c r="Y138" s="14"/>
      <x:c r="Z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 t="n">
        <x:f>IF(K139="Verified",ROUND(H139*0.30+IF(O139="Yes",18,0)+IF(P139="Yes",14,0)+IF(Q139="Yes",14,0)+IF(R139="No",12,0)+IF(S139="Yes",12,0),0),IF(K139="Candidate",MIN(60,H139),IF(K139="Rejected",0,MIN(40,H139))))</x:f>
        <x:v>40</x:v>
      </x:c>
      <x:c r="U139" s="14" t="str">
        <x:f>IF(T139&gt;=80,"Can Use",IF(T139&gt;=65,"Can Use With Confirmation",IF(T139&gt;=50,"Watch Only",IF(T139&gt;=30,"Research Only","Do Not Use"))))</x:f>
        <x:v>Research Only</x:v>
      </x:c>
      <x:c r="V139" s="14" t="str">
        <x:f>IF(OR(A139="CRDO",A139="LITE"),"P0",IF(OR(A139="NVDA",A139="IREN",A139="HOOD"),"P1","P2"))</x:f>
        <x:v>P2</x:v>
      </x:c>
      <x:c r="W139" s="14"/>
      <x:c r="X139" s="14"/>
      <x:c r="Y139" s="14"/>
      <x:c r="Z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 t="n">
        <x:f>IF(K140="Verified",ROUND(H140*0.30+IF(O140="Yes",18,0)+IF(P140="Yes",14,0)+IF(Q140="Yes",14,0)+IF(R140="No",12,0)+IF(S140="Yes",12,0),0),IF(K140="Candidate",MIN(60,H140),IF(K140="Rejected",0,MIN(40,H140))))</x:f>
        <x:v>40</x:v>
      </x:c>
      <x:c r="U140" s="14" t="str">
        <x:f>IF(T140&gt;=80,"Can Use",IF(T140&gt;=65,"Can Use With Confirmation",IF(T140&gt;=50,"Watch Only",IF(T140&gt;=30,"Research Only","Do Not Use"))))</x:f>
        <x:v>Research Only</x:v>
      </x:c>
      <x:c r="V140" s="14" t="str">
        <x:f>IF(OR(A140="CRDO",A140="LITE"),"P0",IF(OR(A140="NVDA",A140="IREN",A140="HOOD"),"P1","P2"))</x:f>
        <x:v>P2</x:v>
      </x:c>
      <x:c r="W140" s="14"/>
      <x:c r="X140" s="14"/>
      <x:c r="Y140" s="14"/>
      <x:c r="Z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 t="n">
        <x:f>IF(K141="Verified",ROUND(H141*0.30+IF(O141="Yes",18,0)+IF(P141="Yes",14,0)+IF(Q141="Yes",14,0)+IF(R141="No",12,0)+IF(S141="Yes",12,0),0),IF(K141="Candidate",MIN(60,H141),IF(K141="Rejected",0,MIN(40,H141))))</x:f>
        <x:v>40</x:v>
      </x:c>
      <x:c r="U141" s="14" t="str">
        <x:f>IF(T141&gt;=80,"Can Use",IF(T141&gt;=65,"Can Use With Confirmation",IF(T141&gt;=50,"Watch Only",IF(T141&gt;=30,"Research Only","Do Not Use"))))</x:f>
        <x:v>Research Only</x:v>
      </x:c>
      <x:c r="V141" s="14" t="str">
        <x:f>IF(OR(A141="CRDO",A141="LITE"),"P0",IF(OR(A141="NVDA",A141="IREN",A141="HOOD"),"P1","P2"))</x:f>
        <x:v>P2</x:v>
      </x:c>
      <x:c r="W141" s="14"/>
      <x:c r="X141" s="14"/>
      <x:c r="Y141" s="14"/>
      <x:c r="Z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 t="n">
        <x:f>IF(K142="Verified",ROUND(H142*0.30+IF(O142="Yes",18,0)+IF(P142="Yes",14,0)+IF(Q142="Yes",14,0)+IF(R142="No",12,0)+IF(S142="Yes",12,0),0),IF(K142="Candidate",MIN(60,H142),IF(K142="Rejected",0,MIN(40,H142))))</x:f>
        <x:v>40</x:v>
      </x:c>
      <x:c r="U142" s="14" t="str">
        <x:f>IF(T142&gt;=80,"Can Use",IF(T142&gt;=65,"Can Use With Confirmation",IF(T142&gt;=50,"Watch Only",IF(T142&gt;=30,"Research Only","Do Not Use"))))</x:f>
        <x:v>Research Only</x:v>
      </x:c>
      <x:c r="V142" s="14" t="str">
        <x:f>IF(OR(A142="CRDO",A142="LITE"),"P0",IF(OR(A142="NVDA",A142="IREN",A142="HOOD"),"P1","P2"))</x:f>
        <x:v>P2</x:v>
      </x:c>
      <x:c r="W142" s="14"/>
      <x:c r="X142" s="14"/>
      <x:c r="Y142" s="14"/>
      <x:c r="Z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 t="n">
        <x:f>IF(K143="Verified",ROUND(H143*0.30+IF(O143="Yes",18,0)+IF(P143="Yes",14,0)+IF(Q143="Yes",14,0)+IF(R143="No",12,0)+IF(S143="Yes",12,0),0),IF(K143="Candidate",MIN(60,H143),IF(K143="Rejected",0,MIN(40,H143))))</x:f>
        <x:v>40</x:v>
      </x:c>
      <x:c r="U143" s="14" t="str">
        <x:f>IF(T143&gt;=80,"Can Use",IF(T143&gt;=65,"Can Use With Confirmation",IF(T143&gt;=50,"Watch Only",IF(T143&gt;=30,"Research Only","Do Not Use"))))</x:f>
        <x:v>Research Only</x:v>
      </x:c>
      <x:c r="V143" s="14" t="str">
        <x:f>IF(OR(A143="CRDO",A143="LITE"),"P0",IF(OR(A143="NVDA",A143="IREN",A143="HOOD"),"P1","P2"))</x:f>
        <x:v>P2</x:v>
      </x:c>
      <x:c r="W143" s="14"/>
      <x:c r="X143" s="14"/>
      <x:c r="Y143" s="14"/>
      <x:c r="Z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 t="n">
        <x:f>IF(K144="Verified",ROUND(H144*0.30+IF(O144="Yes",18,0)+IF(P144="Yes",14,0)+IF(Q144="Yes",14,0)+IF(R144="No",12,0)+IF(S144="Yes",12,0),0),IF(K144="Candidate",MIN(60,H144),IF(K144="Rejected",0,MIN(40,H144))))</x:f>
        <x:v>40</x:v>
      </x:c>
      <x:c r="U144" s="14" t="str">
        <x:f>IF(T144&gt;=80,"Can Use",IF(T144&gt;=65,"Can Use With Confirmation",IF(T144&gt;=50,"Watch Only",IF(T144&gt;=30,"Research Only","Do Not Use"))))</x:f>
        <x:v>Research Only</x:v>
      </x:c>
      <x:c r="V144" s="14" t="str">
        <x:f>IF(OR(A144="CRDO",A144="LITE"),"P0",IF(OR(A144="NVDA",A144="IREN",A144="HOOD"),"P1","P2"))</x:f>
        <x:v>P2</x:v>
      </x:c>
      <x:c r="W144" s="14"/>
      <x:c r="X144" s="14"/>
      <x:c r="Y144" s="14"/>
      <x:c r="Z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 t="n">
        <x:f>IF(K145="Verified",ROUND(H145*0.30+IF(O145="Yes",18,0)+IF(P145="Yes",14,0)+IF(Q145="Yes",14,0)+IF(R145="No",12,0)+IF(S145="Yes",12,0),0),IF(K145="Candidate",MIN(60,H145),IF(K145="Rejected",0,MIN(40,H145))))</x:f>
        <x:v>40</x:v>
      </x:c>
      <x:c r="U145" s="14" t="str">
        <x:f>IF(T145&gt;=80,"Can Use",IF(T145&gt;=65,"Can Use With Confirmation",IF(T145&gt;=50,"Watch Only",IF(T145&gt;=30,"Research Only","Do Not Use"))))</x:f>
        <x:v>Research Only</x:v>
      </x:c>
      <x:c r="V145" s="14" t="str">
        <x:f>IF(OR(A145="CRDO",A145="LITE"),"P0",IF(OR(A145="NVDA",A145="IREN",A145="HOOD"),"P1","P2"))</x:f>
        <x:v>P2</x:v>
      </x:c>
      <x:c r="W145" s="14"/>
      <x:c r="X145" s="14"/>
      <x:c r="Y145" s="14"/>
      <x:c r="Z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 t="n">
        <x:f>IF(K146="Verified",ROUND(H146*0.30+IF(O146="Yes",18,0)+IF(P146="Yes",14,0)+IF(Q146="Yes",14,0)+IF(R146="No",12,0)+IF(S146="Yes",12,0),0),IF(K146="Candidate",MIN(60,H146),IF(K146="Rejected",0,MIN(40,H146))))</x:f>
        <x:v>40</x:v>
      </x:c>
      <x:c r="U146" s="14" t="str">
        <x:f>IF(T146&gt;=80,"Can Use",IF(T146&gt;=65,"Can Use With Confirmation",IF(T146&gt;=50,"Watch Only",IF(T146&gt;=30,"Research Only","Do Not Use"))))</x:f>
        <x:v>Research Only</x:v>
      </x:c>
      <x:c r="V146" s="14" t="str">
        <x:f>IF(OR(A146="CRDO",A146="LITE"),"P0",IF(OR(A146="NVDA",A146="IREN",A146="HOOD"),"P1","P2"))</x:f>
        <x:v>P2</x:v>
      </x:c>
      <x:c r="W146" s="14"/>
      <x:c r="X146" s="14"/>
      <x:c r="Y146" s="14"/>
      <x:c r="Z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 t="n">
        <x:f>IF(K147="Verified",ROUND(H147*0.30+IF(O147="Yes",18,0)+IF(P147="Yes",14,0)+IF(Q147="Yes",14,0)+IF(R147="No",12,0)+IF(S147="Yes",12,0),0),IF(K147="Candidate",MIN(60,H147),IF(K147="Rejected",0,MIN(40,H147))))</x:f>
        <x:v>40</x:v>
      </x:c>
      <x:c r="U147" s="14" t="str">
        <x:f>IF(T147&gt;=80,"Can Use",IF(T147&gt;=65,"Can Use With Confirmation",IF(T147&gt;=50,"Watch Only",IF(T147&gt;=30,"Research Only","Do Not Use"))))</x:f>
        <x:v>Research Only</x:v>
      </x:c>
      <x:c r="V147" s="14" t="str">
        <x:f>IF(OR(A147="CRDO",A147="LITE"),"P0",IF(OR(A147="NVDA",A147="IREN",A147="HOOD"),"P1","P2"))</x:f>
        <x:v>P2</x:v>
      </x:c>
      <x:c r="W147" s="14"/>
      <x:c r="X147" s="14"/>
      <x:c r="Y147" s="14"/>
      <x:c r="Z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 t="n">
        <x:f>IF(K148="Verified",ROUND(H148*0.30+IF(O148="Yes",18,0)+IF(P148="Yes",14,0)+IF(Q148="Yes",14,0)+IF(R148="No",12,0)+IF(S148="Yes",12,0),0),IF(K148="Candidate",MIN(60,H148),IF(K148="Rejected",0,MIN(40,H148))))</x:f>
        <x:v>40</x:v>
      </x:c>
      <x:c r="U148" s="14" t="str">
        <x:f>IF(T148&gt;=80,"Can Use",IF(T148&gt;=65,"Can Use With Confirmation",IF(T148&gt;=50,"Watch Only",IF(T148&gt;=30,"Research Only","Do Not Use"))))</x:f>
        <x:v>Research Only</x:v>
      </x:c>
      <x:c r="V148" s="14" t="str">
        <x:f>IF(OR(A148="CRDO",A148="LITE"),"P0",IF(OR(A148="NVDA",A148="IREN",A148="HOOD"),"P1","P2"))</x:f>
        <x:v>P2</x:v>
      </x:c>
      <x:c r="W148" s="14"/>
      <x:c r="X148" s="14"/>
      <x:c r="Y148" s="14"/>
      <x:c r="Z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 t="n">
        <x:f>IF(K149="Verified",ROUND(H149*0.30+IF(O149="Yes",18,0)+IF(P149="Yes",14,0)+IF(Q149="Yes",14,0)+IF(R149="No",12,0)+IF(S149="Yes",12,0),0),IF(K149="Candidate",MIN(60,H149),IF(K149="Rejected",0,MIN(40,H149))))</x:f>
        <x:v>40</x:v>
      </x:c>
      <x:c r="U149" s="14" t="str">
        <x:f>IF(T149&gt;=80,"Can Use",IF(T149&gt;=65,"Can Use With Confirmation",IF(T149&gt;=50,"Watch Only",IF(T149&gt;=30,"Research Only","Do Not Use"))))</x:f>
        <x:v>Research Only</x:v>
      </x:c>
      <x:c r="V149" s="14" t="str">
        <x:f>IF(OR(A149="CRDO",A149="LITE"),"P0",IF(OR(A149="NVDA",A149="IREN",A149="HOOD"),"P1","P2"))</x:f>
        <x:v>P2</x:v>
      </x:c>
      <x:c r="W149" s="14"/>
      <x:c r="X149" s="14"/>
      <x:c r="Y149" s="14"/>
      <x:c r="Z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 t="n">
        <x:f>IF(K150="Verified",ROUND(H150*0.30+IF(O150="Yes",18,0)+IF(P150="Yes",14,0)+IF(Q150="Yes",14,0)+IF(R150="No",12,0)+IF(S150="Yes",12,0),0),IF(K150="Candidate",MIN(60,H150),IF(K150="Rejected",0,MIN(40,H150))))</x:f>
        <x:v>40</x:v>
      </x:c>
      <x:c r="U150" s="14" t="str">
        <x:f>IF(T150&gt;=80,"Can Use",IF(T150&gt;=65,"Can Use With Confirmation",IF(T150&gt;=50,"Watch Only",IF(T150&gt;=30,"Research Only","Do Not Use"))))</x:f>
        <x:v>Research Only</x:v>
      </x:c>
      <x:c r="V150" s="14" t="str">
        <x:f>IF(OR(A150="CRDO",A150="LITE"),"P0",IF(OR(A150="NVDA",A150="IREN",A150="HOOD"),"P1","P2"))</x:f>
        <x:v>P2</x:v>
      </x:c>
      <x:c r="W150" s="14"/>
      <x:c r="X150" s="14"/>
      <x:c r="Y150" s="14"/>
      <x:c r="Z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 t="n">
        <x:f>IF(K151="Verified",ROUND(H151*0.30+IF(O151="Yes",18,0)+IF(P151="Yes",14,0)+IF(Q151="Yes",14,0)+IF(R151="No",12,0)+IF(S151="Yes",12,0),0),IF(K151="Candidate",MIN(60,H151),IF(K151="Rejected",0,MIN(40,H151))))</x:f>
        <x:v>40</x:v>
      </x:c>
      <x:c r="U151" s="14" t="str">
        <x:f>IF(T151&gt;=80,"Can Use",IF(T151&gt;=65,"Can Use With Confirmation",IF(T151&gt;=50,"Watch Only",IF(T151&gt;=30,"Research Only","Do Not Use"))))</x:f>
        <x:v>Research Only</x:v>
      </x:c>
      <x:c r="V151" s="14" t="str">
        <x:f>IF(OR(A151="CRDO",A151="LITE"),"P0",IF(OR(A151="NVDA",A151="IREN",A151="HOOD"),"P1","P2"))</x:f>
        <x:v>P2</x:v>
      </x:c>
      <x:c r="W151" s="14"/>
      <x:c r="X151" s="14"/>
      <x:c r="Y151" s="14"/>
      <x:c r="Z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 t="n">
        <x:f>IF(K152="Verified",ROUND(H152*0.30+IF(O152="Yes",18,0)+IF(P152="Yes",14,0)+IF(Q152="Yes",14,0)+IF(R152="No",12,0)+IF(S152="Yes",12,0),0),IF(K152="Candidate",MIN(60,H152),IF(K152="Rejected",0,MIN(40,H152))))</x:f>
        <x:v>40</x:v>
      </x:c>
      <x:c r="U152" s="14" t="str">
        <x:f>IF(T152&gt;=80,"Can Use",IF(T152&gt;=65,"Can Use With Confirmation",IF(T152&gt;=50,"Watch Only",IF(T152&gt;=30,"Research Only","Do Not Use"))))</x:f>
        <x:v>Research Only</x:v>
      </x:c>
      <x:c r="V152" s="14" t="str">
        <x:f>IF(OR(A152="CRDO",A152="LITE"),"P0",IF(OR(A152="NVDA",A152="IREN",A152="HOOD"),"P1","P2"))</x:f>
        <x:v>P2</x:v>
      </x:c>
      <x:c r="W152" s="14"/>
      <x:c r="X152" s="14"/>
      <x:c r="Y152" s="14"/>
      <x:c r="Z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 t="n">
        <x:f>IF(K153="Verified",ROUND(H153*0.30+IF(O153="Yes",18,0)+IF(P153="Yes",14,0)+IF(Q153="Yes",14,0)+IF(R153="No",12,0)+IF(S153="Yes",12,0),0),IF(K153="Candidate",MIN(60,H153),IF(K153="Rejected",0,MIN(40,H153))))</x:f>
        <x:v>40</x:v>
      </x:c>
      <x:c r="U153" s="14" t="str">
        <x:f>IF(T153&gt;=80,"Can Use",IF(T153&gt;=65,"Can Use With Confirmation",IF(T153&gt;=50,"Watch Only",IF(T153&gt;=30,"Research Only","Do Not Use"))))</x:f>
        <x:v>Research Only</x:v>
      </x:c>
      <x:c r="V153" s="14" t="str">
        <x:f>IF(OR(A153="CRDO",A153="LITE"),"P0",IF(OR(A153="NVDA",A153="IREN",A153="HOOD"),"P1","P2"))</x:f>
        <x:v>P2</x:v>
      </x:c>
      <x:c r="W153" s="14"/>
      <x:c r="X153" s="14"/>
      <x:c r="Y153" s="14"/>
      <x:c r="Z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 t="n">
        <x:f>IF(K154="Verified",ROUND(H154*0.30+IF(O154="Yes",18,0)+IF(P154="Yes",14,0)+IF(Q154="Yes",14,0)+IF(R154="No",12,0)+IF(S154="Yes",12,0),0),IF(K154="Candidate",MIN(60,H154),IF(K154="Rejected",0,MIN(40,H154))))</x:f>
        <x:v>40</x:v>
      </x:c>
      <x:c r="U154" s="14" t="str">
        <x:f>IF(T154&gt;=80,"Can Use",IF(T154&gt;=65,"Can Use With Confirmation",IF(T154&gt;=50,"Watch Only",IF(T154&gt;=30,"Research Only","Do Not Use"))))</x:f>
        <x:v>Research Only</x:v>
      </x:c>
      <x:c r="V154" s="14" t="str">
        <x:f>IF(OR(A154="CRDO",A154="LITE"),"P0",IF(OR(A154="NVDA",A154="IREN",A154="HOOD"),"P1","P2"))</x:f>
        <x:v>P2</x:v>
      </x:c>
      <x:c r="W154" s="14"/>
      <x:c r="X154" s="14"/>
      <x:c r="Y154" s="14"/>
      <x:c r="Z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 t="n">
        <x:f>IF(K155="Verified",ROUND(H155*0.30+IF(O155="Yes",18,0)+IF(P155="Yes",14,0)+IF(Q155="Yes",14,0)+IF(R155="No",12,0)+IF(S155="Yes",12,0),0),IF(K155="Candidate",MIN(60,H155),IF(K155="Rejected",0,MIN(40,H155))))</x:f>
        <x:v>40</x:v>
      </x:c>
      <x:c r="U155" s="14" t="str">
        <x:f>IF(T155&gt;=80,"Can Use",IF(T155&gt;=65,"Can Use With Confirmation",IF(T155&gt;=50,"Watch Only",IF(T155&gt;=30,"Research Only","Do Not Use"))))</x:f>
        <x:v>Research Only</x:v>
      </x:c>
      <x:c r="V155" s="14" t="str">
        <x:f>IF(OR(A155="CRDO",A155="LITE"),"P0",IF(OR(A155="NVDA",A155="IREN",A155="HOOD"),"P1","P2"))</x:f>
        <x:v>P2</x:v>
      </x:c>
      <x:c r="W155" s="14"/>
      <x:c r="X155" s="14"/>
      <x:c r="Y155" s="14"/>
      <x:c r="Z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 t="n">
        <x:f>IF(K156="Verified",ROUND(H156*0.30+IF(O156="Yes",18,0)+IF(P156="Yes",14,0)+IF(Q156="Yes",14,0)+IF(R156="No",12,0)+IF(S156="Yes",12,0),0),IF(K156="Candidate",MIN(60,H156),IF(K156="Rejected",0,MIN(40,H156))))</x:f>
        <x:v>40</x:v>
      </x:c>
      <x:c r="U156" s="14" t="str">
        <x:f>IF(T156&gt;=80,"Can Use",IF(T156&gt;=65,"Can Use With Confirmation",IF(T156&gt;=50,"Watch Only",IF(T156&gt;=30,"Research Only","Do Not Use"))))</x:f>
        <x:v>Research Only</x:v>
      </x:c>
      <x:c r="V156" s="14" t="str">
        <x:f>IF(OR(A156="CRDO",A156="LITE"),"P0",IF(OR(A156="NVDA",A156="IREN",A156="HOOD"),"P1","P2"))</x:f>
        <x:v>P2</x:v>
      </x:c>
      <x:c r="W156" s="14"/>
      <x:c r="X156" s="14"/>
      <x:c r="Y156" s="14"/>
      <x:c r="Z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 t="n">
        <x:f>IF(K157="Verified",ROUND(H157*0.30+IF(O157="Yes",18,0)+IF(P157="Yes",14,0)+IF(Q157="Yes",14,0)+IF(R157="No",12,0)+IF(S157="Yes",12,0),0),IF(K157="Candidate",MIN(60,H157),IF(K157="Rejected",0,MIN(40,H157))))</x:f>
        <x:v>40</x:v>
      </x:c>
      <x:c r="U157" s="14" t="str">
        <x:f>IF(T157&gt;=80,"Can Use",IF(T157&gt;=65,"Can Use With Confirmation",IF(T157&gt;=50,"Watch Only",IF(T157&gt;=30,"Research Only","Do Not Use"))))</x:f>
        <x:v>Research Only</x:v>
      </x:c>
      <x:c r="V157" s="14" t="str">
        <x:f>IF(OR(A157="CRDO",A157="LITE"),"P0",IF(OR(A157="NVDA",A157="IREN",A157="HOOD"),"P1","P2"))</x:f>
        <x:v>P2</x:v>
      </x:c>
      <x:c r="W157" s="14"/>
      <x:c r="X157" s="14"/>
      <x:c r="Y157" s="14"/>
      <x:c r="Z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 t="n">
        <x:f>IF(K158="Verified",ROUND(H158*0.30+IF(O158="Yes",18,0)+IF(P158="Yes",14,0)+IF(Q158="Yes",14,0)+IF(R158="No",12,0)+IF(S158="Yes",12,0),0),IF(K158="Candidate",MIN(60,H158),IF(K158="Rejected",0,MIN(40,H158))))</x:f>
        <x:v>40</x:v>
      </x:c>
      <x:c r="U158" s="14" t="str">
        <x:f>IF(T158&gt;=80,"Can Use",IF(T158&gt;=65,"Can Use With Confirmation",IF(T158&gt;=50,"Watch Only",IF(T158&gt;=30,"Research Only","Do Not Use"))))</x:f>
        <x:v>Research Only</x:v>
      </x:c>
      <x:c r="V158" s="14" t="str">
        <x:f>IF(OR(A158="CRDO",A158="LITE"),"P0",IF(OR(A158="NVDA",A158="IREN",A158="HOOD"),"P1","P2"))</x:f>
        <x:v>P2</x:v>
      </x:c>
      <x:c r="W158" s="14"/>
      <x:c r="X158" s="14"/>
      <x:c r="Y158" s="14"/>
      <x:c r="Z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 t="n">
        <x:f>IF(K159="Verified",ROUND(H159*0.30+IF(O159="Yes",18,0)+IF(P159="Yes",14,0)+IF(Q159="Yes",14,0)+IF(R159="No",12,0)+IF(S159="Yes",12,0),0),IF(K159="Candidate",MIN(60,H159),IF(K159="Rejected",0,MIN(40,H159))))</x:f>
        <x:v>40</x:v>
      </x:c>
      <x:c r="U159" s="14" t="str">
        <x:f>IF(T159&gt;=80,"Can Use",IF(T159&gt;=65,"Can Use With Confirmation",IF(T159&gt;=50,"Watch Only",IF(T159&gt;=30,"Research Only","Do Not Use"))))</x:f>
        <x:v>Research Only</x:v>
      </x:c>
      <x:c r="V159" s="14" t="str">
        <x:f>IF(OR(A159="CRDO",A159="LITE"),"P0",IF(OR(A159="NVDA",A159="IREN",A159="HOOD"),"P1","P2"))</x:f>
        <x:v>P2</x:v>
      </x:c>
      <x:c r="W159" s="14"/>
      <x:c r="X159" s="14"/>
      <x:c r="Y159" s="14"/>
      <x:c r="Z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 t="n">
        <x:f>IF(K160="Verified",ROUND(H160*0.30+IF(O160="Yes",18,0)+IF(P160="Yes",14,0)+IF(Q160="Yes",14,0)+IF(R160="No",12,0)+IF(S160="Yes",12,0),0),IF(K160="Candidate",MIN(60,H160),IF(K160="Rejected",0,MIN(40,H160))))</x:f>
        <x:v>40</x:v>
      </x:c>
      <x:c r="U160" s="14" t="str">
        <x:f>IF(T160&gt;=80,"Can Use",IF(T160&gt;=65,"Can Use With Confirmation",IF(T160&gt;=50,"Watch Only",IF(T160&gt;=30,"Research Only","Do Not Use"))))</x:f>
        <x:v>Research Only</x:v>
      </x:c>
      <x:c r="V160" s="14" t="str">
        <x:f>IF(OR(A160="CRDO",A160="LITE"),"P0",IF(OR(A160="NVDA",A160="IREN",A160="HOOD"),"P1","P2"))</x:f>
        <x:v>P2</x:v>
      </x:c>
      <x:c r="W160" s="14"/>
      <x:c r="X160" s="14"/>
      <x:c r="Y160" s="14"/>
      <x:c r="Z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 t="n">
        <x:f>IF(K161="Verified",ROUND(H161*0.30+IF(O161="Yes",18,0)+IF(P161="Yes",14,0)+IF(Q161="Yes",14,0)+IF(R161="No",12,0)+IF(S161="Yes",12,0),0),IF(K161="Candidate",MIN(60,H161),IF(K161="Rejected",0,MIN(40,H161))))</x:f>
        <x:v>40</x:v>
      </x:c>
      <x:c r="U161" s="14" t="str">
        <x:f>IF(T161&gt;=80,"Can Use",IF(T161&gt;=65,"Can Use With Confirmation",IF(T161&gt;=50,"Watch Only",IF(T161&gt;=30,"Research Only","Do Not Use"))))</x:f>
        <x:v>Research Only</x:v>
      </x:c>
      <x:c r="V161" s="14" t="str">
        <x:f>IF(OR(A161="CRDO",A161="LITE"),"P0",IF(OR(A161="NVDA",A161="IREN",A161="HOOD"),"P1","P2"))</x:f>
        <x:v>P2</x:v>
      </x:c>
      <x:c r="W161" s="14"/>
      <x:c r="X161" s="14"/>
      <x:c r="Y161" s="14"/>
      <x:c r="Z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 t="n">
        <x:f>IF(K162="Verified",ROUND(H162*0.30+IF(O162="Yes",18,0)+IF(P162="Yes",14,0)+IF(Q162="Yes",14,0)+IF(R162="No",12,0)+IF(S162="Yes",12,0),0),IF(K162="Candidate",MIN(60,H162),IF(K162="Rejected",0,MIN(40,H162))))</x:f>
        <x:v>40</x:v>
      </x:c>
      <x:c r="U162" s="14" t="str">
        <x:f>IF(T162&gt;=80,"Can Use",IF(T162&gt;=65,"Can Use With Confirmation",IF(T162&gt;=50,"Watch Only",IF(T162&gt;=30,"Research Only","Do Not Use"))))</x:f>
        <x:v>Research Only</x:v>
      </x:c>
      <x:c r="V162" s="14" t="str">
        <x:f>IF(OR(A162="CRDO",A162="LITE"),"P0",IF(OR(A162="NVDA",A162="IREN",A162="HOOD"),"P1","P2"))</x:f>
        <x:v>P2</x:v>
      </x:c>
      <x:c r="W162" s="14"/>
      <x:c r="X162" s="14"/>
      <x:c r="Y162" s="14"/>
      <x:c r="Z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 t="n">
        <x:f>IF(K163="Verified",ROUND(H163*0.30+IF(O163="Yes",18,0)+IF(P163="Yes",14,0)+IF(Q163="Yes",14,0)+IF(R163="No",12,0)+IF(S163="Yes",12,0),0),IF(K163="Candidate",MIN(60,H163),IF(K163="Rejected",0,MIN(40,H163))))</x:f>
        <x:v>40</x:v>
      </x:c>
      <x:c r="U163" s="14" t="str">
        <x:f>IF(T163&gt;=80,"Can Use",IF(T163&gt;=65,"Can Use With Confirmation",IF(T163&gt;=50,"Watch Only",IF(T163&gt;=30,"Research Only","Do Not Use"))))</x:f>
        <x:v>Research Only</x:v>
      </x:c>
      <x:c r="V163" s="14" t="str">
        <x:f>IF(OR(A163="CRDO",A163="LITE"),"P0",IF(OR(A163="NVDA",A163="IREN",A163="HOOD"),"P1","P2"))</x:f>
        <x:v>P2</x:v>
      </x:c>
      <x:c r="W163" s="14"/>
      <x:c r="X163" s="14"/>
      <x:c r="Y163" s="14"/>
      <x:c r="Z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 t="n">
        <x:f>IF(K164="Verified",ROUND(H164*0.30+IF(O164="Yes",18,0)+IF(P164="Yes",14,0)+IF(Q164="Yes",14,0)+IF(R164="No",12,0)+IF(S164="Yes",12,0),0),IF(K164="Candidate",MIN(60,H164),IF(K164="Rejected",0,MIN(40,H164))))</x:f>
        <x:v>40</x:v>
      </x:c>
      <x:c r="U164" s="14" t="str">
        <x:f>IF(T164&gt;=80,"Can Use",IF(T164&gt;=65,"Can Use With Confirmation",IF(T164&gt;=50,"Watch Only",IF(T164&gt;=30,"Research Only","Do Not Use"))))</x:f>
        <x:v>Research Only</x:v>
      </x:c>
      <x:c r="V164" s="14" t="str">
        <x:f>IF(OR(A164="CRDO",A164="LITE"),"P0",IF(OR(A164="NVDA",A164="IREN",A164="HOOD"),"P1","P2"))</x:f>
        <x:v>P2</x:v>
      </x:c>
      <x:c r="W164" s="14"/>
      <x:c r="X164" s="14"/>
      <x:c r="Y164" s="14"/>
      <x:c r="Z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 t="n">
        <x:f>IF(K165="Verified",ROUND(H165*0.30+IF(O165="Yes",18,0)+IF(P165="Yes",14,0)+IF(Q165="Yes",14,0)+IF(R165="No",12,0)+IF(S165="Yes",12,0),0),IF(K165="Candidate",MIN(60,H165),IF(K165="Rejected",0,MIN(40,H165))))</x:f>
        <x:v>40</x:v>
      </x:c>
      <x:c r="U165" s="14" t="str">
        <x:f>IF(T165&gt;=80,"Can Use",IF(T165&gt;=65,"Can Use With Confirmation",IF(T165&gt;=50,"Watch Only",IF(T165&gt;=30,"Research Only","Do Not Use"))))</x:f>
        <x:v>Research Only</x:v>
      </x:c>
      <x:c r="V165" s="14" t="str">
        <x:f>IF(OR(A165="CRDO",A165="LITE"),"P0",IF(OR(A165="NVDA",A165="IREN",A165="HOOD"),"P1","P2"))</x:f>
        <x:v>P2</x:v>
      </x:c>
      <x:c r="W165" s="14"/>
      <x:c r="X165" s="14"/>
      <x:c r="Y165" s="14"/>
      <x:c r="Z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 t="n">
        <x:f>IF(K166="Verified",ROUND(H166*0.30+IF(O166="Yes",18,0)+IF(P166="Yes",14,0)+IF(Q166="Yes",14,0)+IF(R166="No",12,0)+IF(S166="Yes",12,0),0),IF(K166="Candidate",MIN(60,H166),IF(K166="Rejected",0,MIN(40,H166))))</x:f>
        <x:v>40</x:v>
      </x:c>
      <x:c r="U166" s="14" t="str">
        <x:f>IF(T166&gt;=80,"Can Use",IF(T166&gt;=65,"Can Use With Confirmation",IF(T166&gt;=50,"Watch Only",IF(T166&gt;=30,"Research Only","Do Not Use"))))</x:f>
        <x:v>Research Only</x:v>
      </x:c>
      <x:c r="V166" s="14" t="str">
        <x:f>IF(OR(A166="CRDO",A166="LITE"),"P0",IF(OR(A166="NVDA",A166="IREN",A166="HOOD"),"P1","P2"))</x:f>
        <x:v>P2</x:v>
      </x:c>
      <x:c r="W166" s="14"/>
      <x:c r="X166" s="14"/>
      <x:c r="Y166" s="14"/>
      <x:c r="Z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 t="n">
        <x:f>IF(K167="Verified",ROUND(H167*0.30+IF(O167="Yes",18,0)+IF(P167="Yes",14,0)+IF(Q167="Yes",14,0)+IF(R167="No",12,0)+IF(S167="Yes",12,0),0),IF(K167="Candidate",MIN(60,H167),IF(K167="Rejected",0,MIN(40,H167))))</x:f>
        <x:v>40</x:v>
      </x:c>
      <x:c r="U167" s="14" t="str">
        <x:f>IF(T167&gt;=80,"Can Use",IF(T167&gt;=65,"Can Use With Confirmation",IF(T167&gt;=50,"Watch Only",IF(T167&gt;=30,"Research Only","Do Not Use"))))</x:f>
        <x:v>Research Only</x:v>
      </x:c>
      <x:c r="V167" s="14" t="str">
        <x:f>IF(OR(A167="CRDO",A167="LITE"),"P0",IF(OR(A167="NVDA",A167="IREN",A167="HOOD"),"P1","P2"))</x:f>
        <x:v>P2</x:v>
      </x:c>
      <x:c r="W167" s="14"/>
      <x:c r="X167" s="14"/>
      <x:c r="Y167" s="14"/>
      <x:c r="Z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 t="n">
        <x:f>IF(K168="Verified",ROUND(H168*0.30+IF(O168="Yes",18,0)+IF(P168="Yes",14,0)+IF(Q168="Yes",14,0)+IF(R168="No",12,0)+IF(S168="Yes",12,0),0),IF(K168="Candidate",MIN(60,H168),IF(K168="Rejected",0,MIN(40,H168))))</x:f>
        <x:v>40</x:v>
      </x:c>
      <x:c r="U168" s="14" t="str">
        <x:f>IF(T168&gt;=80,"Can Use",IF(T168&gt;=65,"Can Use With Confirmation",IF(T168&gt;=50,"Watch Only",IF(T168&gt;=30,"Research Only","Do Not Use"))))</x:f>
        <x:v>Research Only</x:v>
      </x:c>
      <x:c r="V168" s="14" t="str">
        <x:f>IF(OR(A168="CRDO",A168="LITE"),"P0",IF(OR(A168="NVDA",A168="IREN",A168="HOOD"),"P1","P2"))</x:f>
        <x:v>P2</x:v>
      </x:c>
      <x:c r="W168" s="14"/>
      <x:c r="X168" s="14"/>
      <x:c r="Y168" s="14"/>
      <x:c r="Z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 t="n">
        <x:f>IF(K169="Verified",ROUND(H169*0.30+IF(O169="Yes",18,0)+IF(P169="Yes",14,0)+IF(Q169="Yes",14,0)+IF(R169="No",12,0)+IF(S169="Yes",12,0),0),IF(K169="Candidate",MIN(60,H169),IF(K169="Rejected",0,MIN(40,H169))))</x:f>
        <x:v>40</x:v>
      </x:c>
      <x:c r="U169" s="14" t="str">
        <x:f>IF(T169&gt;=80,"Can Use",IF(T169&gt;=65,"Can Use With Confirmation",IF(T169&gt;=50,"Watch Only",IF(T169&gt;=30,"Research Only","Do Not Use"))))</x:f>
        <x:v>Research Only</x:v>
      </x:c>
      <x:c r="V169" s="14" t="str">
        <x:f>IF(OR(A169="CRDO",A169="LITE"),"P0",IF(OR(A169="NVDA",A169="IREN",A169="HOOD"),"P1","P2"))</x:f>
        <x:v>P2</x:v>
      </x:c>
      <x:c r="W169" s="14"/>
      <x:c r="X169" s="14"/>
      <x:c r="Y169" s="14"/>
      <x:c r="Z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 t="n">
        <x:f>IF(K170="Verified",ROUND(H170*0.30+IF(O170="Yes",18,0)+IF(P170="Yes",14,0)+IF(Q170="Yes",14,0)+IF(R170="No",12,0)+IF(S170="Yes",12,0),0),IF(K170="Candidate",MIN(60,H170),IF(K170="Rejected",0,MIN(40,H170))))</x:f>
        <x:v>40</x:v>
      </x:c>
      <x:c r="U170" s="14" t="str">
        <x:f>IF(T170&gt;=80,"Can Use",IF(T170&gt;=65,"Can Use With Confirmation",IF(T170&gt;=50,"Watch Only",IF(T170&gt;=30,"Research Only","Do Not Use"))))</x:f>
        <x:v>Research Only</x:v>
      </x:c>
      <x:c r="V170" s="14" t="str">
        <x:f>IF(OR(A170="CRDO",A170="LITE"),"P0",IF(OR(A170="NVDA",A170="IREN",A170="HOOD"),"P1","P2"))</x:f>
        <x:v>P2</x:v>
      </x:c>
      <x:c r="W170" s="14"/>
      <x:c r="X170" s="14"/>
      <x:c r="Y170" s="14"/>
      <x:c r="Z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 t="n">
        <x:f>IF(K171="Verified",ROUND(H171*0.30+IF(O171="Yes",18,0)+IF(P171="Yes",14,0)+IF(Q171="Yes",14,0)+IF(R171="No",12,0)+IF(S171="Yes",12,0),0),IF(K171="Candidate",MIN(60,H171),IF(K171="Rejected",0,MIN(40,H171))))</x:f>
        <x:v>40</x:v>
      </x:c>
      <x:c r="U171" s="14" t="str">
        <x:f>IF(T171&gt;=80,"Can Use",IF(T171&gt;=65,"Can Use With Confirmation",IF(T171&gt;=50,"Watch Only",IF(T171&gt;=30,"Research Only","Do Not Use"))))</x:f>
        <x:v>Research Only</x:v>
      </x:c>
      <x:c r="V171" s="14" t="str">
        <x:f>IF(OR(A171="CRDO",A171="LITE"),"P0",IF(OR(A171="NVDA",A171="IREN",A171="HOOD"),"P1","P2"))</x:f>
        <x:v>P2</x:v>
      </x:c>
      <x:c r="W171" s="14"/>
      <x:c r="X171" s="14"/>
      <x:c r="Y171" s="14"/>
      <x:c r="Z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 t="n">
        <x:f>IF(K172="Verified",ROUND(H172*0.30+IF(O172="Yes",18,0)+IF(P172="Yes",14,0)+IF(Q172="Yes",14,0)+IF(R172="No",12,0)+IF(S172="Yes",12,0),0),IF(K172="Candidate",MIN(60,H172),IF(K172="Rejected",0,MIN(40,H172))))</x:f>
        <x:v>40</x:v>
      </x:c>
      <x:c r="U172" s="14" t="str">
        <x:f>IF(T172&gt;=80,"Can Use",IF(T172&gt;=65,"Can Use With Confirmation",IF(T172&gt;=50,"Watch Only",IF(T172&gt;=30,"Research Only","Do Not Use"))))</x:f>
        <x:v>Research Only</x:v>
      </x:c>
      <x:c r="V172" s="14" t="str">
        <x:f>IF(OR(A172="CRDO",A172="LITE"),"P0",IF(OR(A172="NVDA",A172="IREN",A172="HOOD"),"P1","P2"))</x:f>
        <x:v>P2</x:v>
      </x:c>
      <x:c r="W172" s="14"/>
      <x:c r="X172" s="14"/>
      <x:c r="Y172" s="14"/>
      <x:c r="Z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 t="n">
        <x:f>IF(K173="Verified",ROUND(H173*0.30+IF(O173="Yes",18,0)+IF(P173="Yes",14,0)+IF(Q173="Yes",14,0)+IF(R173="No",12,0)+IF(S173="Yes",12,0),0),IF(K173="Candidate",MIN(60,H173),IF(K173="Rejected",0,MIN(40,H173))))</x:f>
        <x:v>40</x:v>
      </x:c>
      <x:c r="U173" s="14" t="str">
        <x:f>IF(T173&gt;=80,"Can Use",IF(T173&gt;=65,"Can Use With Confirmation",IF(T173&gt;=50,"Watch Only",IF(T173&gt;=30,"Research Only","Do Not Use"))))</x:f>
        <x:v>Research Only</x:v>
      </x:c>
      <x:c r="V173" s="14" t="str">
        <x:f>IF(OR(A173="CRDO",A173="LITE"),"P0",IF(OR(A173="NVDA",A173="IREN",A173="HOOD"),"P1","P2"))</x:f>
        <x:v>P2</x:v>
      </x:c>
      <x:c r="W173" s="14"/>
      <x:c r="X173" s="14"/>
      <x:c r="Y173" s="14"/>
      <x:c r="Z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 t="n">
        <x:f>IF(K174="Verified",ROUND(H174*0.30+IF(O174="Yes",18,0)+IF(P174="Yes",14,0)+IF(Q174="Yes",14,0)+IF(R174="No",12,0)+IF(S174="Yes",12,0),0),IF(K174="Candidate",MIN(60,H174),IF(K174="Rejected",0,MIN(40,H174))))</x:f>
        <x:v>40</x:v>
      </x:c>
      <x:c r="U174" s="14" t="str">
        <x:f>IF(T174&gt;=80,"Can Use",IF(T174&gt;=65,"Can Use With Confirmation",IF(T174&gt;=50,"Watch Only",IF(T174&gt;=30,"Research Only","Do Not Use"))))</x:f>
        <x:v>Research Only</x:v>
      </x:c>
      <x:c r="V174" s="14" t="str">
        <x:f>IF(OR(A174="CRDO",A174="LITE"),"P0",IF(OR(A174="NVDA",A174="IREN",A174="HOOD"),"P1","P2"))</x:f>
        <x:v>P2</x:v>
      </x:c>
      <x:c r="W174" s="14"/>
      <x:c r="X174" s="14"/>
      <x:c r="Y174" s="14"/>
      <x:c r="Z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 t="n">
        <x:f>IF(K175="Verified",ROUND(H175*0.30+IF(O175="Yes",18,0)+IF(P175="Yes",14,0)+IF(Q175="Yes",14,0)+IF(R175="No",12,0)+IF(S175="Yes",12,0),0),IF(K175="Candidate",MIN(60,H175),IF(K175="Rejected",0,MIN(40,H175))))</x:f>
        <x:v>40</x:v>
      </x:c>
      <x:c r="U175" s="14" t="str">
        <x:f>IF(T175&gt;=80,"Can Use",IF(T175&gt;=65,"Can Use With Confirmation",IF(T175&gt;=50,"Watch Only",IF(T175&gt;=30,"Research Only","Do Not Use"))))</x:f>
        <x:v>Research Only</x:v>
      </x:c>
      <x:c r="V175" s="14" t="str">
        <x:f>IF(OR(A175="CRDO",A175="LITE"),"P0",IF(OR(A175="NVDA",A175="IREN",A175="HOOD"),"P1","P2"))</x:f>
        <x:v>P2</x:v>
      </x:c>
      <x:c r="W175" s="14"/>
      <x:c r="X175" s="14"/>
      <x:c r="Y175" s="14"/>
      <x:c r="Z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 t="n">
        <x:f>IF(K176="Verified",ROUND(H176*0.30+IF(O176="Yes",18,0)+IF(P176="Yes",14,0)+IF(Q176="Yes",14,0)+IF(R176="No",12,0)+IF(S176="Yes",12,0),0),IF(K176="Candidate",MIN(60,H176),IF(K176="Rejected",0,MIN(40,H176))))</x:f>
        <x:v>40</x:v>
      </x:c>
      <x:c r="U176" s="14" t="str">
        <x:f>IF(T176&gt;=80,"Can Use",IF(T176&gt;=65,"Can Use With Confirmation",IF(T176&gt;=50,"Watch Only",IF(T176&gt;=30,"Research Only","Do Not Use"))))</x:f>
        <x:v>Research Only</x:v>
      </x:c>
      <x:c r="V176" s="14" t="str">
        <x:f>IF(OR(A176="CRDO",A176="LITE"),"P0",IF(OR(A176="NVDA",A176="IREN",A176="HOOD"),"P1","P2"))</x:f>
        <x:v>P2</x:v>
      </x:c>
      <x:c r="W176" s="14"/>
      <x:c r="X176" s="14"/>
      <x:c r="Y176" s="14"/>
      <x:c r="Z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 t="n">
        <x:f>IF(K177="Verified",ROUND(H177*0.30+IF(O177="Yes",18,0)+IF(P177="Yes",14,0)+IF(Q177="Yes",14,0)+IF(R177="No",12,0)+IF(S177="Yes",12,0),0),IF(K177="Candidate",MIN(60,H177),IF(K177="Rejected",0,MIN(40,H177))))</x:f>
        <x:v>40</x:v>
      </x:c>
      <x:c r="U177" s="14" t="str">
        <x:f>IF(T177&gt;=80,"Can Use",IF(T177&gt;=65,"Can Use With Confirmation",IF(T177&gt;=50,"Watch Only",IF(T177&gt;=30,"Research Only","Do Not Use"))))</x:f>
        <x:v>Research Only</x:v>
      </x:c>
      <x:c r="V177" s="14" t="str">
        <x:f>IF(OR(A177="CRDO",A177="LITE"),"P0",IF(OR(A177="NVDA",A177="IREN",A177="HOOD"),"P1","P2"))</x:f>
        <x:v>P2</x:v>
      </x:c>
      <x:c r="W177" s="14"/>
      <x:c r="X177" s="14"/>
      <x:c r="Y177" s="14"/>
      <x:c r="Z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 t="n">
        <x:f>IF(K178="Verified",ROUND(H178*0.30+IF(O178="Yes",18,0)+IF(P178="Yes",14,0)+IF(Q178="Yes",14,0)+IF(R178="No",12,0)+IF(S178="Yes",12,0),0),IF(K178="Candidate",MIN(60,H178),IF(K178="Rejected",0,MIN(40,H178))))</x:f>
        <x:v>40</x:v>
      </x:c>
      <x:c r="U178" s="14" t="str">
        <x:f>IF(T178&gt;=80,"Can Use",IF(T178&gt;=65,"Can Use With Confirmation",IF(T178&gt;=50,"Watch Only",IF(T178&gt;=30,"Research Only","Do Not Use"))))</x:f>
        <x:v>Research Only</x:v>
      </x:c>
      <x:c r="V178" s="14" t="str">
        <x:f>IF(OR(A178="CRDO",A178="LITE"),"P0",IF(OR(A178="NVDA",A178="IREN",A178="HOOD"),"P1","P2"))</x:f>
        <x:v>P2</x:v>
      </x:c>
      <x:c r="W178" s="14"/>
      <x:c r="X178" s="14"/>
      <x:c r="Y178" s="14"/>
      <x:c r="Z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 t="n">
        <x:f>IF(K179="Verified",ROUND(H179*0.30+IF(O179="Yes",18,0)+IF(P179="Yes",14,0)+IF(Q179="Yes",14,0)+IF(R179="No",12,0)+IF(S179="Yes",12,0),0),IF(K179="Candidate",MIN(60,H179),IF(K179="Rejected",0,MIN(40,H179))))</x:f>
        <x:v>40</x:v>
      </x:c>
      <x:c r="U179" s="14" t="str">
        <x:f>IF(T179&gt;=80,"Can Use",IF(T179&gt;=65,"Can Use With Confirmation",IF(T179&gt;=50,"Watch Only",IF(T179&gt;=30,"Research Only","Do Not Use"))))</x:f>
        <x:v>Research Only</x:v>
      </x:c>
      <x:c r="V179" s="14" t="str">
        <x:f>IF(OR(A179="CRDO",A179="LITE"),"P0",IF(OR(A179="NVDA",A179="IREN",A179="HOOD"),"P1","P2"))</x:f>
        <x:v>P2</x:v>
      </x:c>
      <x:c r="W179" s="14"/>
      <x:c r="X179" s="14"/>
      <x:c r="Y179" s="14"/>
      <x:c r="Z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 t="n">
        <x:f>IF(K180="Verified",ROUND(H180*0.30+IF(O180="Yes",18,0)+IF(P180="Yes",14,0)+IF(Q180="Yes",14,0)+IF(R180="No",12,0)+IF(S180="Yes",12,0),0),IF(K180="Candidate",MIN(60,H180),IF(K180="Rejected",0,MIN(40,H180))))</x:f>
        <x:v>40</x:v>
      </x:c>
      <x:c r="U180" s="14" t="str">
        <x:f>IF(T180&gt;=80,"Can Use",IF(T180&gt;=65,"Can Use With Confirmation",IF(T180&gt;=50,"Watch Only",IF(T180&gt;=30,"Research Only","Do Not Use"))))</x:f>
        <x:v>Research Only</x:v>
      </x:c>
      <x:c r="V180" s="14" t="str">
        <x:f>IF(OR(A180="CRDO",A180="LITE"),"P0",IF(OR(A180="NVDA",A180="IREN",A180="HOOD"),"P1","P2"))</x:f>
        <x:v>P2</x:v>
      </x:c>
      <x:c r="W180" s="14"/>
      <x:c r="X180" s="14"/>
      <x:c r="Y180" s="14"/>
      <x:c r="Z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 t="n">
        <x:f>IF(K181="Verified",ROUND(H181*0.30+IF(O181="Yes",18,0)+IF(P181="Yes",14,0)+IF(Q181="Yes",14,0)+IF(R181="No",12,0)+IF(S181="Yes",12,0),0),IF(K181="Candidate",MIN(60,H181),IF(K181="Rejected",0,MIN(40,H181))))</x:f>
        <x:v>40</x:v>
      </x:c>
      <x:c r="U181" s="14" t="str">
        <x:f>IF(T181&gt;=80,"Can Use",IF(T181&gt;=65,"Can Use With Confirmation",IF(T181&gt;=50,"Watch Only",IF(T181&gt;=30,"Research Only","Do Not Use"))))</x:f>
        <x:v>Research Only</x:v>
      </x:c>
      <x:c r="V181" s="14" t="str">
        <x:f>IF(OR(A181="CRDO",A181="LITE"),"P0",IF(OR(A181="NVDA",A181="IREN",A181="HOOD"),"P1","P2"))</x:f>
        <x:v>P2</x:v>
      </x:c>
      <x:c r="W181" s="14"/>
      <x:c r="X181" s="14"/>
      <x:c r="Y181" s="14"/>
      <x:c r="Z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 t="n">
        <x:f>IF(K182="Verified",ROUND(H182*0.30+IF(O182="Yes",18,0)+IF(P182="Yes",14,0)+IF(Q182="Yes",14,0)+IF(R182="No",12,0)+IF(S182="Yes",12,0),0),IF(K182="Candidate",MIN(60,H182),IF(K182="Rejected",0,MIN(40,H182))))</x:f>
        <x:v>40</x:v>
      </x:c>
      <x:c r="U182" s="14" t="str">
        <x:f>IF(T182&gt;=80,"Can Use",IF(T182&gt;=65,"Can Use With Confirmation",IF(T182&gt;=50,"Watch Only",IF(T182&gt;=30,"Research Only","Do Not Use"))))</x:f>
        <x:v>Research Only</x:v>
      </x:c>
      <x:c r="V182" s="14" t="str">
        <x:f>IF(OR(A182="CRDO",A182="LITE"),"P0",IF(OR(A182="NVDA",A182="IREN",A182="HOOD"),"P1","P2"))</x:f>
        <x:v>P2</x:v>
      </x:c>
      <x:c r="W182" s="14"/>
      <x:c r="X182" s="14"/>
      <x:c r="Y182" s="14"/>
      <x:c r="Z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 t="n">
        <x:f>IF(K183="Verified",ROUND(H183*0.30+IF(O183="Yes",18,0)+IF(P183="Yes",14,0)+IF(Q183="Yes",14,0)+IF(R183="No",12,0)+IF(S183="Yes",12,0),0),IF(K183="Candidate",MIN(60,H183),IF(K183="Rejected",0,MIN(40,H183))))</x:f>
        <x:v>40</x:v>
      </x:c>
      <x:c r="U183" s="14" t="str">
        <x:f>IF(T183&gt;=80,"Can Use",IF(T183&gt;=65,"Can Use With Confirmation",IF(T183&gt;=50,"Watch Only",IF(T183&gt;=30,"Research Only","Do Not Use"))))</x:f>
        <x:v>Research Only</x:v>
      </x:c>
      <x:c r="V183" s="14" t="str">
        <x:f>IF(OR(A183="CRDO",A183="LITE"),"P0",IF(OR(A183="NVDA",A183="IREN",A183="HOOD"),"P1","P2"))</x:f>
        <x:v>P2</x:v>
      </x:c>
      <x:c r="W183" s="14"/>
      <x:c r="X183" s="14"/>
      <x:c r="Y183" s="14"/>
      <x:c r="Z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 t="n">
        <x:f>IF(K184="Verified",ROUND(H184*0.30+IF(O184="Yes",18,0)+IF(P184="Yes",14,0)+IF(Q184="Yes",14,0)+IF(R184="No",12,0)+IF(S184="Yes",12,0),0),IF(K184="Candidate",MIN(60,H184),IF(K184="Rejected",0,MIN(40,H184))))</x:f>
        <x:v>40</x:v>
      </x:c>
      <x:c r="U184" s="14" t="str">
        <x:f>IF(T184&gt;=80,"Can Use",IF(T184&gt;=65,"Can Use With Confirmation",IF(T184&gt;=50,"Watch Only",IF(T184&gt;=30,"Research Only","Do Not Use"))))</x:f>
        <x:v>Research Only</x:v>
      </x:c>
      <x:c r="V184" s="14" t="str">
        <x:f>IF(OR(A184="CRDO",A184="LITE"),"P0",IF(OR(A184="NVDA",A184="IREN",A184="HOOD"),"P1","P2"))</x:f>
        <x:v>P2</x:v>
      </x:c>
      <x:c r="W184" s="14"/>
      <x:c r="X184" s="14"/>
      <x:c r="Y184" s="14"/>
      <x:c r="Z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 t="n">
        <x:f>IF(K185="Verified",ROUND(H185*0.30+IF(O185="Yes",18,0)+IF(P185="Yes",14,0)+IF(Q185="Yes",14,0)+IF(R185="No",12,0)+IF(S185="Yes",12,0),0),IF(K185="Candidate",MIN(60,H185),IF(K185="Rejected",0,MIN(40,H185))))</x:f>
        <x:v>40</x:v>
      </x:c>
      <x:c r="U185" s="14" t="str">
        <x:f>IF(T185&gt;=80,"Can Use",IF(T185&gt;=65,"Can Use With Confirmation",IF(T185&gt;=50,"Watch Only",IF(T185&gt;=30,"Research Only","Do Not Use"))))</x:f>
        <x:v>Research Only</x:v>
      </x:c>
      <x:c r="V185" s="14" t="str">
        <x:f>IF(OR(A185="CRDO",A185="LITE"),"P0",IF(OR(A185="NVDA",A185="IREN",A185="HOOD"),"P1","P2"))</x:f>
        <x:v>P2</x:v>
      </x:c>
      <x:c r="W185" s="14"/>
      <x:c r="X185" s="14"/>
      <x:c r="Y185" s="14"/>
      <x:c r="Z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 t="n">
        <x:f>IF(K186="Verified",ROUND(H186*0.30+IF(O186="Yes",18,0)+IF(P186="Yes",14,0)+IF(Q186="Yes",14,0)+IF(R186="No",12,0)+IF(S186="Yes",12,0),0),IF(K186="Candidate",MIN(60,H186),IF(K186="Rejected",0,MIN(40,H186))))</x:f>
        <x:v>40</x:v>
      </x:c>
      <x:c r="U186" s="14" t="str">
        <x:f>IF(T186&gt;=80,"Can Use",IF(T186&gt;=65,"Can Use With Confirmation",IF(T186&gt;=50,"Watch Only",IF(T186&gt;=30,"Research Only","Do Not Use"))))</x:f>
        <x:v>Research Only</x:v>
      </x:c>
      <x:c r="V186" s="14" t="str">
        <x:f>IF(OR(A186="CRDO",A186="LITE"),"P0",IF(OR(A186="NVDA",A186="IREN",A186="HOOD"),"P1","P2"))</x:f>
        <x:v>P2</x:v>
      </x:c>
      <x:c r="W186" s="14"/>
      <x:c r="X186" s="14"/>
      <x:c r="Y186" s="14"/>
      <x:c r="Z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 t="n">
        <x:f>IF(K187="Verified",ROUND(H187*0.30+IF(O187="Yes",18,0)+IF(P187="Yes",14,0)+IF(Q187="Yes",14,0)+IF(R187="No",12,0)+IF(S187="Yes",12,0),0),IF(K187="Candidate",MIN(60,H187),IF(K187="Rejected",0,MIN(40,H187))))</x:f>
        <x:v>40</x:v>
      </x:c>
      <x:c r="U187" s="14" t="str">
        <x:f>IF(T187&gt;=80,"Can Use",IF(T187&gt;=65,"Can Use With Confirmation",IF(T187&gt;=50,"Watch Only",IF(T187&gt;=30,"Research Only","Do Not Use"))))</x:f>
        <x:v>Research Only</x:v>
      </x:c>
      <x:c r="V187" s="14" t="str">
        <x:f>IF(OR(A187="CRDO",A187="LITE"),"P0",IF(OR(A187="NVDA",A187="IREN",A187="HOOD"),"P1","P2"))</x:f>
        <x:v>P2</x:v>
      </x:c>
      <x:c r="W187" s="14"/>
      <x:c r="X187" s="14"/>
      <x:c r="Y187" s="14"/>
      <x:c r="Z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 t="n">
        <x:f>IF(K188="Verified",ROUND(H188*0.30+IF(O188="Yes",18,0)+IF(P188="Yes",14,0)+IF(Q188="Yes",14,0)+IF(R188="No",12,0)+IF(S188="Yes",12,0),0),IF(K188="Candidate",MIN(60,H188),IF(K188="Rejected",0,MIN(40,H188))))</x:f>
        <x:v>40</x:v>
      </x:c>
      <x:c r="U188" s="14" t="str">
        <x:f>IF(T188&gt;=80,"Can Use",IF(T188&gt;=65,"Can Use With Confirmation",IF(T188&gt;=50,"Watch Only",IF(T188&gt;=30,"Research Only","Do Not Use"))))</x:f>
        <x:v>Research Only</x:v>
      </x:c>
      <x:c r="V188" s="14" t="str">
        <x:f>IF(OR(A188="CRDO",A188="LITE"),"P0",IF(OR(A188="NVDA",A188="IREN",A188="HOOD"),"P1","P2"))</x:f>
        <x:v>P2</x:v>
      </x:c>
      <x:c r="W188" s="14"/>
      <x:c r="X188" s="14"/>
      <x:c r="Y188" s="14"/>
      <x:c r="Z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 t="n">
        <x:f>IF(K189="Verified",ROUND(H189*0.30+IF(O189="Yes",18,0)+IF(P189="Yes",14,0)+IF(Q189="Yes",14,0)+IF(R189="No",12,0)+IF(S189="Yes",12,0),0),IF(K189="Candidate",MIN(60,H189),IF(K189="Rejected",0,MIN(40,H189))))</x:f>
        <x:v>40</x:v>
      </x:c>
      <x:c r="U189" s="14" t="str">
        <x:f>IF(T189&gt;=80,"Can Use",IF(T189&gt;=65,"Can Use With Confirmation",IF(T189&gt;=50,"Watch Only",IF(T189&gt;=30,"Research Only","Do Not Use"))))</x:f>
        <x:v>Research Only</x:v>
      </x:c>
      <x:c r="V189" s="14" t="str">
        <x:f>IF(OR(A189="CRDO",A189="LITE"),"P0",IF(OR(A189="NVDA",A189="IREN",A189="HOOD"),"P1","P2"))</x:f>
        <x:v>P2</x:v>
      </x:c>
      <x:c r="W189" s="14"/>
      <x:c r="X189" s="14"/>
      <x:c r="Y189" s="14"/>
      <x:c r="Z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 t="n">
        <x:f>IF(K190="Verified",ROUND(H190*0.30+IF(O190="Yes",18,0)+IF(P190="Yes",14,0)+IF(Q190="Yes",14,0)+IF(R190="No",12,0)+IF(S190="Yes",12,0),0),IF(K190="Candidate",MIN(60,H190),IF(K190="Rejected",0,MIN(40,H190))))</x:f>
        <x:v>40</x:v>
      </x:c>
      <x:c r="U190" s="14" t="str">
        <x:f>IF(T190&gt;=80,"Can Use",IF(T190&gt;=65,"Can Use With Confirmation",IF(T190&gt;=50,"Watch Only",IF(T190&gt;=30,"Research Only","Do Not Use"))))</x:f>
        <x:v>Research Only</x:v>
      </x:c>
      <x:c r="V190" s="14" t="str">
        <x:f>IF(OR(A190="CRDO",A190="LITE"),"P0",IF(OR(A190="NVDA",A190="IREN",A190="HOOD"),"P1","P2"))</x:f>
        <x:v>P2</x:v>
      </x:c>
      <x:c r="W190" s="14"/>
      <x:c r="X190" s="14"/>
      <x:c r="Y190" s="14"/>
      <x:c r="Z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 t="n">
        <x:f>IF(K191="Verified",ROUND(H191*0.30+IF(O191="Yes",18,0)+IF(P191="Yes",14,0)+IF(Q191="Yes",14,0)+IF(R191="No",12,0)+IF(S191="Yes",12,0),0),IF(K191="Candidate",MIN(60,H191),IF(K191="Rejected",0,MIN(40,H191))))</x:f>
        <x:v>40</x:v>
      </x:c>
      <x:c r="U191" s="14" t="str">
        <x:f>IF(T191&gt;=80,"Can Use",IF(T191&gt;=65,"Can Use With Confirmation",IF(T191&gt;=50,"Watch Only",IF(T191&gt;=30,"Research Only","Do Not Use"))))</x:f>
        <x:v>Research Only</x:v>
      </x:c>
      <x:c r="V191" s="14" t="str">
        <x:f>IF(OR(A191="CRDO",A191="LITE"),"P0",IF(OR(A191="NVDA",A191="IREN",A191="HOOD"),"P1","P2"))</x:f>
        <x:v>P2</x:v>
      </x:c>
      <x:c r="W191" s="14"/>
      <x:c r="X191" s="14"/>
      <x:c r="Y191" s="14"/>
      <x:c r="Z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 t="n">
        <x:f>IF(K192="Verified",ROUND(H192*0.30+IF(O192="Yes",18,0)+IF(P192="Yes",14,0)+IF(Q192="Yes",14,0)+IF(R192="No",12,0)+IF(S192="Yes",12,0),0),IF(K192="Candidate",MIN(60,H192),IF(K192="Rejected",0,MIN(40,H192))))</x:f>
        <x:v>40</x:v>
      </x:c>
      <x:c r="U192" s="14" t="str">
        <x:f>IF(T192&gt;=80,"Can Use",IF(T192&gt;=65,"Can Use With Confirmation",IF(T192&gt;=50,"Watch Only",IF(T192&gt;=30,"Research Only","Do Not Use"))))</x:f>
        <x:v>Research Only</x:v>
      </x:c>
      <x:c r="V192" s="14" t="str">
        <x:f>IF(OR(A192="CRDO",A192="LITE"),"P0",IF(OR(A192="NVDA",A192="IREN",A192="HOOD"),"P1","P2"))</x:f>
        <x:v>P2</x:v>
      </x:c>
      <x:c r="W192" s="14"/>
      <x:c r="X192" s="14"/>
      <x:c r="Y192" s="14"/>
      <x:c r="Z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 t="n">
        <x:f>IF(K193="Verified",ROUND(H193*0.30+IF(O193="Yes",18,0)+IF(P193="Yes",14,0)+IF(Q193="Yes",14,0)+IF(R193="No",12,0)+IF(S193="Yes",12,0),0),IF(K193="Candidate",MIN(60,H193),IF(K193="Rejected",0,MIN(40,H193))))</x:f>
        <x:v>40</x:v>
      </x:c>
      <x:c r="U193" s="14" t="str">
        <x:f>IF(T193&gt;=80,"Can Use",IF(T193&gt;=65,"Can Use With Confirmation",IF(T193&gt;=50,"Watch Only",IF(T193&gt;=30,"Research Only","Do Not Use"))))</x:f>
        <x:v>Research Only</x:v>
      </x:c>
      <x:c r="V193" s="14" t="str">
        <x:f>IF(OR(A193="CRDO",A193="LITE"),"P0",IF(OR(A193="NVDA",A193="IREN",A193="HOOD"),"P1","P2"))</x:f>
        <x:v>P2</x:v>
      </x:c>
      <x:c r="W193" s="14"/>
      <x:c r="X193" s="14"/>
      <x:c r="Y193" s="14"/>
      <x:c r="Z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 t="n">
        <x:f>IF(K194="Verified",ROUND(H194*0.30+IF(O194="Yes",18,0)+IF(P194="Yes",14,0)+IF(Q194="Yes",14,0)+IF(R194="No",12,0)+IF(S194="Yes",12,0),0),IF(K194="Candidate",MIN(60,H194),IF(K194="Rejected",0,MIN(40,H194))))</x:f>
        <x:v>40</x:v>
      </x:c>
      <x:c r="U194" s="14" t="str">
        <x:f>IF(T194&gt;=80,"Can Use",IF(T194&gt;=65,"Can Use With Confirmation",IF(T194&gt;=50,"Watch Only",IF(T194&gt;=30,"Research Only","Do Not Use"))))</x:f>
        <x:v>Research Only</x:v>
      </x:c>
      <x:c r="V194" s="14" t="str">
        <x:f>IF(OR(A194="CRDO",A194="LITE"),"P0",IF(OR(A194="NVDA",A194="IREN",A194="HOOD"),"P1","P2"))</x:f>
        <x:v>P2</x:v>
      </x:c>
      <x:c r="W194" s="14"/>
      <x:c r="X194" s="14"/>
      <x:c r="Y194" s="14"/>
      <x:c r="Z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 t="n">
        <x:f>IF(K195="Verified",ROUND(H195*0.30+IF(O195="Yes",18,0)+IF(P195="Yes",14,0)+IF(Q195="Yes",14,0)+IF(R195="No",12,0)+IF(S195="Yes",12,0),0),IF(K195="Candidate",MIN(60,H195),IF(K195="Rejected",0,MIN(40,H195))))</x:f>
        <x:v>40</x:v>
      </x:c>
      <x:c r="U195" s="14" t="str">
        <x:f>IF(T195&gt;=80,"Can Use",IF(T195&gt;=65,"Can Use With Confirmation",IF(T195&gt;=50,"Watch Only",IF(T195&gt;=30,"Research Only","Do Not Use"))))</x:f>
        <x:v>Research Only</x:v>
      </x:c>
      <x:c r="V195" s="14" t="str">
        <x:f>IF(OR(A195="CRDO",A195="LITE"),"P0",IF(OR(A195="NVDA",A195="IREN",A195="HOOD"),"P1","P2"))</x:f>
        <x:v>P2</x:v>
      </x:c>
      <x:c r="W195" s="14"/>
      <x:c r="X195" s="14"/>
      <x:c r="Y195" s="14"/>
      <x:c r="Z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 t="n">
        <x:f>IF(K196="Verified",ROUND(H196*0.30+IF(O196="Yes",18,0)+IF(P196="Yes",14,0)+IF(Q196="Yes",14,0)+IF(R196="No",12,0)+IF(S196="Yes",12,0),0),IF(K196="Candidate",MIN(60,H196),IF(K196="Rejected",0,MIN(40,H196))))</x:f>
        <x:v>40</x:v>
      </x:c>
      <x:c r="U196" s="14" t="str">
        <x:f>IF(T196&gt;=80,"Can Use",IF(T196&gt;=65,"Can Use With Confirmation",IF(T196&gt;=50,"Watch Only",IF(T196&gt;=30,"Research Only","Do Not Use"))))</x:f>
        <x:v>Research Only</x:v>
      </x:c>
      <x:c r="V196" s="14" t="str">
        <x:f>IF(OR(A196="CRDO",A196="LITE"),"P0",IF(OR(A196="NVDA",A196="IREN",A196="HOOD"),"P1","P2"))</x:f>
        <x:v>P2</x:v>
      </x:c>
      <x:c r="W196" s="14"/>
      <x:c r="X196" s="14"/>
      <x:c r="Y196" s="14"/>
      <x:c r="Z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 t="n">
        <x:f>IF(K197="Verified",ROUND(H197*0.30+IF(O197="Yes",18,0)+IF(P197="Yes",14,0)+IF(Q197="Yes",14,0)+IF(R197="No",12,0)+IF(S197="Yes",12,0),0),IF(K197="Candidate",MIN(60,H197),IF(K197="Rejected",0,MIN(40,H197))))</x:f>
        <x:v>40</x:v>
      </x:c>
      <x:c r="U197" s="14" t="str">
        <x:f>IF(T197&gt;=80,"Can Use",IF(T197&gt;=65,"Can Use With Confirmation",IF(T197&gt;=50,"Watch Only",IF(T197&gt;=30,"Research Only","Do Not Use"))))</x:f>
        <x:v>Research Only</x:v>
      </x:c>
      <x:c r="V197" s="14" t="str">
        <x:f>IF(OR(A197="CRDO",A197="LITE"),"P0",IF(OR(A197="NVDA",A197="IREN",A197="HOOD"),"P1","P2"))</x:f>
        <x:v>P2</x:v>
      </x:c>
      <x:c r="W197" s="14"/>
      <x:c r="X197" s="14"/>
      <x:c r="Y197" s="14"/>
      <x:c r="Z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 t="n">
        <x:f>IF(K198="Verified",ROUND(H198*0.30+IF(O198="Yes",18,0)+IF(P198="Yes",14,0)+IF(Q198="Yes",14,0)+IF(R198="No",12,0)+IF(S198="Yes",12,0),0),IF(K198="Candidate",MIN(60,H198),IF(K198="Rejected",0,MIN(40,H198))))</x:f>
        <x:v>40</x:v>
      </x:c>
      <x:c r="U198" s="14" t="str">
        <x:f>IF(T198&gt;=80,"Can Use",IF(T198&gt;=65,"Can Use With Confirmation",IF(T198&gt;=50,"Watch Only",IF(T198&gt;=30,"Research Only","Do Not Use"))))</x:f>
        <x:v>Research Only</x:v>
      </x:c>
      <x:c r="V198" s="14" t="str">
        <x:f>IF(OR(A198="CRDO",A198="LITE"),"P0",IF(OR(A198="NVDA",A198="IREN",A198="HOOD"),"P1","P2"))</x:f>
        <x:v>P2</x:v>
      </x:c>
      <x:c r="W198" s="14"/>
      <x:c r="X198" s="14"/>
      <x:c r="Y198" s="14"/>
      <x:c r="Z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 t="n">
        <x:f>IF(K199="Verified",ROUND(H199*0.30+IF(O199="Yes",18,0)+IF(P199="Yes",14,0)+IF(Q199="Yes",14,0)+IF(R199="No",12,0)+IF(S199="Yes",12,0),0),IF(K199="Candidate",MIN(60,H199),IF(K199="Rejected",0,MIN(40,H199))))</x:f>
        <x:v>40</x:v>
      </x:c>
      <x:c r="U199" s="14" t="str">
        <x:f>IF(T199&gt;=80,"Can Use",IF(T199&gt;=65,"Can Use With Confirmation",IF(T199&gt;=50,"Watch Only",IF(T199&gt;=30,"Research Only","Do Not Use"))))</x:f>
        <x:v>Research Only</x:v>
      </x:c>
      <x:c r="V199" s="14" t="str">
        <x:f>IF(OR(A199="CRDO",A199="LITE"),"P0",IF(OR(A199="NVDA",A199="IREN",A199="HOOD"),"P1","P2"))</x:f>
        <x:v>P2</x:v>
      </x:c>
      <x:c r="W199" s="14"/>
      <x:c r="X199" s="14"/>
      <x:c r="Y199" s="14"/>
      <x:c r="Z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 t="n">
        <x:f>IF(K200="Verified",ROUND(H200*0.30+IF(O200="Yes",18,0)+IF(P200="Yes",14,0)+IF(Q200="Yes",14,0)+IF(R200="No",12,0)+IF(S200="Yes",12,0),0),IF(K200="Candidate",MIN(60,H200),IF(K200="Rejected",0,MIN(40,H200))))</x:f>
        <x:v>40</x:v>
      </x:c>
      <x:c r="U200" s="14" t="str">
        <x:f>IF(T200&gt;=80,"Can Use",IF(T200&gt;=65,"Can Use With Confirmation",IF(T200&gt;=50,"Watch Only",IF(T200&gt;=30,"Research Only","Do Not Use"))))</x:f>
        <x:v>Research Only</x:v>
      </x:c>
      <x:c r="V200" s="14" t="str">
        <x:f>IF(OR(A200="CRDO",A200="LITE"),"P0",IF(OR(A200="NVDA",A200="IREN",A200="HOOD"),"P1","P2"))</x:f>
        <x:v>P2</x:v>
      </x:c>
      <x:c r="W200" s="14"/>
      <x:c r="X200" s="14"/>
      <x:c r="Y200" s="14"/>
      <x:c r="Z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 t="n">
        <x:f>IF(K201="Verified",ROUND(H201*0.30+IF(O201="Yes",18,0)+IF(P201="Yes",14,0)+IF(Q201="Yes",14,0)+IF(R201="No",12,0)+IF(S201="Yes",12,0),0),IF(K201="Candidate",MIN(60,H201),IF(K201="Rejected",0,MIN(40,H201))))</x:f>
        <x:v>40</x:v>
      </x:c>
      <x:c r="U201" s="14" t="str">
        <x:f>IF(T201&gt;=80,"Can Use",IF(T201&gt;=65,"Can Use With Confirmation",IF(T201&gt;=50,"Watch Only",IF(T201&gt;=30,"Research Only","Do Not Use"))))</x:f>
        <x:v>Research Only</x:v>
      </x:c>
      <x:c r="V201" s="14" t="str">
        <x:f>IF(OR(A201="CRDO",A201="LITE"),"P0",IF(OR(A201="NVDA",A201="IREN",A201="HOOD"),"P1","P2"))</x:f>
        <x:v>P2</x:v>
      </x:c>
      <x:c r="W201" s="14"/>
      <x:c r="X201" s="14"/>
      <x:c r="Y201" s="14"/>
      <x:c r="Z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</x:row>
  </x:sheetData>
  <x:conditionalFormatting sqref="T2:T220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K2:K220">
    <x:cfRule type="expression" dxfId="0" priority="2">
      <x:formula>K2="Verified"</x:formula>
    </x:cfRule>
    <x:cfRule type="expression" dxfId="1" priority="3">
      <x:formula>K2="Unverified"</x:formula>
    </x:cfRule>
    <x:cfRule type="expression" dxfId="2" priority="4">
      <x:formula>K2="Candidate"</x:formula>
    </x:cfRule>
  </x:conditionalFormatting>
  <x:conditionalFormatting sqref="U2:U220">
    <x:cfRule type="expression" dxfId="3" priority="5">
      <x:formula>U2="Can Use"</x:formula>
    </x:cfRule>
    <x:cfRule type="expression" dxfId="4" priority="6">
      <x:formula>U2="Do Not Use"</x:formula>
    </x:cfRule>
  </x:conditionalFormatting>
  <x:conditionalFormatting sqref="A2:A220">
    <x:cfRule type="expression" dxfId="5" priority="7">
      <x:formula>OR(A2="IREN",A2="HOOD")</x:formula>
    </x:cfRule>
  </x:conditionalFormatting>
  <x:dataValidations count="9">
    <x:dataValidation type="list" sqref="K2:K220">
      <x:formula1>Lists!$A$2:$A$6</x:formula1>
    </x:dataValidation>
    <x:dataValidation type="list" sqref="L2:L220">
      <x:formula1>Lists!$C$2:$C$7</x:formula1>
    </x:dataValidation>
    <x:dataValidation type="list" sqref="O2:O220">
      <x:formula1>"Yes,No,Unknown,N/A"</x:formula1>
    </x:dataValidation>
    <x:dataValidation type="list" sqref="P2:P220">
      <x:formula1>"Yes,No,Unknown,N/A"</x:formula1>
    </x:dataValidation>
    <x:dataValidation type="list" sqref="Q2:Q220">
      <x:formula1>"Yes,No,Unknown,N/A"</x:formula1>
    </x:dataValidation>
    <x:dataValidation type="list" sqref="R2:R220">
      <x:formula1>"Yes,No,Unknown,N/A"</x:formula1>
    </x:dataValidation>
    <x:dataValidation type="list" sqref="S2:S220">
      <x:formula1>"Yes,No,Unknown,N/A"</x:formula1>
    </x:dataValidation>
    <x:dataValidation type="list" sqref="U2:U220">
      <x:formula1>Lists!$D$2:$D$6</x:formula1>
    </x:dataValidation>
    <x:dataValidation type="list" sqref="V2:V22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c1bf0843fd4b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Gann Anchor Verification Rules v0.2</x:v>
      </x:c>
      <x:c r="B1" s="14" t="str"/>
      <x:c r="C1" s="14" t="str"/>
      <x:c r="D1" s="14" t="str"/>
      <x:c r="E1" s="14" t="str"/>
      <x:c r="F1" s="14" t="str"/>
    </x:row>
    <x:row r="2">
      <x:c r="A2" s="9" t="str">
        <x:v>Rule</x:v>
      </x:c>
      <x:c r="B2" s="9" t="str">
        <x:v>Requirement</x:v>
      </x:c>
      <x:c r="C2" s="9" t="str">
        <x:v>Why It Matters</x:v>
      </x:c>
      <x:c r="D2" s="9" t="str">
        <x:v>Can Use?</x:v>
      </x:c>
      <x:c r="E2" s="9" t="str">
        <x:v>Action</x:v>
      </x:c>
      <x:c r="F2" s="9" t="str"/>
    </x:row>
    <x:row r="3">
      <x:c r="A3" s="14" t="str">
        <x:v>Absolute high/low</x:v>
      </x:c>
      <x:c r="B3" s="14" t="str">
        <x:v>Must match a market-recognized high/low on daily or weekly chart.</x:v>
      </x:c>
      <x:c r="C3" s="14" t="str">
        <x:v>Gann levels are highly sensitive to anchor selection.</x:v>
      </x:c>
      <x:c r="D3" s="14" t="str">
        <x:v>Yes if verified</x:v>
      </x:c>
      <x:c r="E3" s="14" t="str">
        <x:v>Can Use</x:v>
      </x:c>
      <x:c r="F3" s="14" t="str"/>
    </x:row>
    <x:row r="4">
      <x:c r="A4" s="14" t="str">
        <x:v>Earnings gap</x:v>
      </x:c>
      <x:c r="B4" s="14" t="str">
        <x:v>Must be tied to earnings date and gap high/low/close must be specified.</x:v>
      </x:c>
      <x:c r="C4" s="14" t="str">
        <x:v>Event pivots often matter more than random swing points.</x:v>
      </x:c>
      <x:c r="D4" s="14" t="str">
        <x:v>Yes with confirmation</x:v>
      </x:c>
      <x:c r="E4" s="14" t="str">
        <x:v>Can Use With Confirmation</x:v>
      </x:c>
      <x:c r="F4" s="14" t="str"/>
    </x:row>
    <x:row r="5">
      <x:c r="A5" s="14" t="str">
        <x:v>Major gap</x:v>
      </x:c>
      <x:c r="B5" s="14" t="str">
        <x:v>Gap must be &gt;5% or market-recognized; record gap open/high/low/close.</x:v>
      </x:c>
      <x:c r="C5" s="14" t="str">
        <x:v>Gap anchors should represent institutional repricing.</x:v>
      </x:c>
      <x:c r="D5" s="14" t="str">
        <x:v>Yes with confirmation</x:v>
      </x:c>
      <x:c r="E5" s="14" t="str">
        <x:v>Can Use With Confirmation</x:v>
      </x:c>
      <x:c r="F5" s="14" t="str"/>
    </x:row>
    <x:row r="6">
      <x:c r="A6" s="14" t="str">
        <x:v>Narrative reprice</x:v>
      </x:c>
      <x:c r="B6" s="14" t="str">
        <x:v>Needs evidence that market repriced ticker due to a new theme, contract, regulatory shift, BTC cycle or AI cycle.</x:v>
      </x:c>
      <x:c r="C6" s="14" t="str">
        <x:v>IREN/HOOD often move on narrative repricing, not classic earnings only.</x:v>
      </x:c>
      <x:c r="D6" s="14" t="str">
        <x:v>Watch until confirmed</x:v>
      </x:c>
      <x:c r="E6" s="14" t="str">
        <x:v>Watch Only</x:v>
      </x:c>
      <x:c r="F6" s="14" t="str"/>
    </x:row>
    <x:row r="7">
      <x:c r="A7" s="14" t="str">
        <x:v>Swing high/low</x:v>
      </x:c>
      <x:c r="B7" s="14" t="str">
        <x:v>Needs at least two failed attempts or clear reversal/volume confirmation.</x:v>
      </x:c>
      <x:c r="C7" s="14" t="str">
        <x:v>Minor swings create noise.</x:v>
      </x:c>
      <x:c r="D7" s="14" t="str">
        <x:v>Watch only unless very clear</x:v>
      </x:c>
      <x:c r="E7" s="14" t="str">
        <x:v>Watch Only</x:v>
      </x:c>
      <x:c r="F7" s="14" t="str"/>
    </x:row>
    <x:row r="8">
      <x:c r="A8" s="14" t="str">
        <x:v>Sample anchor</x:v>
      </x:c>
      <x:c r="B8" s="14" t="str">
        <x:v>Any anchor labeled sample is not tradable until verified.</x:v>
      </x:c>
      <x:c r="C8" s="14" t="str">
        <x:v>Prevents fake precision.</x:v>
      </x:c>
      <x:c r="D8" s="14" t="str">
        <x:v>No</x:v>
      </x:c>
      <x:c r="E8" s="14" t="str">
        <x:v>Research Only</x:v>
      </x:c>
      <x:c r="F8" s="14" t="str"/>
    </x:row>
    <x:row r="9">
      <x:c r="A9" s="14" t="str">
        <x:v>Reject condition</x:v>
      </x:c>
      <x:c r="B9" s="14" t="str">
        <x:v>If chart does not confirm date/price/event, mark Rejected.</x:v>
      </x:c>
      <x:c r="C9" s="14" t="str">
        <x:v>Bad anchors poison all downstream levels.</x:v>
      </x:c>
      <x:c r="D9" s="14" t="str">
        <x:v>No</x:v>
      </x:c>
      <x:c r="E9" s="14" t="str">
        <x:v>Do Not Use</x:v>
      </x:c>
      <x:c r="F9" s="14" t="str"/>
    </x:row>
    <x:row r="10">
      <x:c r="A10" s="14" t="str">
        <x:v>Minimum use score</x:v>
      </x:c>
      <x:c r="B10" s="14" t="str">
        <x:v>Verification Score &gt;= 65.</x:v>
      </x:c>
      <x:c r="C10" s="14" t="str">
        <x:v>Below this, Gann is only a research note.</x:v>
      </x:c>
      <x:c r="D10" s="14" t="str">
        <x:v>Conditional</x:v>
      </x:c>
      <x:c r="E10" s="14" t="str">
        <x:v>Can Use With Confirmation</x:v>
      </x:c>
      <x:c r="F10" s="14" t="str"/>
    </x:row>
    <x:row r="11">
      <x:c r="A11" s="14" t="str">
        <x:v>Formal trade use</x:v>
      </x:c>
      <x:c r="B11" s="14" t="str">
        <x:v>Needs verified anchor + current price + AVWAP/RSI/TCG confirmation.</x:v>
      </x:c>
      <x:c r="C11" s="14" t="str">
        <x:v>Gann cannot act alone.</x:v>
      </x:c>
      <x:c r="D11" s="14" t="str">
        <x:v>Conditional</x:v>
      </x:c>
      <x:c r="E11" s="14" t="str">
        <x:v>Can Use</x:v>
      </x:c>
      <x:c r="F11" s="14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50a05c6a06d48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6" hidden="0" customWidth="1"/>
    <x:col min="4" max="4" width="46" hidden="0" customWidth="1"/>
    <x:col min="5" max="5" width="46" hidden="0" customWidth="1"/>
  </x:cols>
  <x:sheetData>
    <x:row r="1">
      <x:c r="A1" s="22" t="str">
        <x:v>Ticker-Specific Anchor Verification Rules</x:v>
      </x:c>
      <x:c r="B1" s="14" t="str"/>
      <x:c r="C1" s="14" t="str"/>
      <x:c r="D1" s="14" t="str"/>
      <x:c r="E1" s="14" t="str"/>
    </x:row>
    <x:row r="2">
      <x:c r="A2" s="9" t="str">
        <x:v>Ticker</x:v>
      </x:c>
      <x:c r="B2" s="9" t="str">
        <x:v>Special Context</x:v>
      </x:c>
      <x:c r="C2" s="9" t="str">
        <x:v>Must Check</x:v>
      </x:c>
      <x:c r="D2" s="9" t="str">
        <x:v>Reject If</x:v>
      </x:c>
      <x:c r="E2" s="9" t="str">
        <x:v>Use Note</x:v>
      </x:c>
    </x:row>
    <x:row r="3">
      <x:c r="A3" s="14" t="str">
        <x:v>CRDO</x:v>
      </x:c>
      <x:c r="B3" s="14" t="str">
        <x:v>AI optical / connectivity</x:v>
      </x:c>
      <x:c r="C3" s="14" t="str">
        <x:v>Earnings gap, AI connectivity peer RS, CRDO vs LITE/COHR/ANET behavior</x:v>
      </x:c>
      <x:c r="D3" s="14" t="str">
        <x:v>Optical chain strong but CRDO underperforms or anchor is a minor swing</x:v>
      </x:c>
      <x:c r="E3" s="14" t="str">
        <x:v>High beta runner; anchors need peer confirmation.</x:v>
      </x:c>
    </x:row>
    <x:row r="4">
      <x:c r="A4" s="14" t="str">
        <x:v>NVDA</x:v>
      </x:c>
      <x:c r="B4" s="14" t="str">
        <x:v>AI infrastructure anchor</x:v>
      </x:c>
      <x:c r="C4" s="14" t="str">
        <x:v>AI CapEx event, earnings reaction, mega-cap market context, QQQ/SMH relationship</x:v>
      </x:c>
      <x:c r="D4" s="14" t="str">
        <x:v>Anchor not market-recognized or NVDA loses AI-anchor status</x:v>
      </x:c>
      <x:c r="E4" s="14" t="str">
        <x:v>NVDA anchors affect AI exposure ceiling.</x:v>
      </x:c>
    </x:row>
    <x:row r="5">
      <x:c r="A5" s="14" t="str">
        <x:v>LITE</x:v>
      </x:c>
      <x:c r="B5" s="14" t="str">
        <x:v>AI optical recovery</x:v>
      </x:c>
      <x:c r="C5" s="14" t="str">
        <x:v>Recovery high/low, CRDO/COHR peer confirmation, AVWAP reclaim/failure</x:v>
      </x:c>
      <x:c r="D5" s="14" t="str">
        <x:v>LITE remains laggard while optical peers lead</x:v>
      </x:c>
      <x:c r="E5" s="14" t="str">
        <x:v>Build requires RS improvement.</x:v>
      </x:c>
    </x:row>
    <x:row r="6">
      <x:c r="A6" s="14" t="str">
        <x:v>IREN</x:v>
      </x:c>
      <x:c r="B6" s="14" t="str">
        <x:v>BTC miner + AI compute transition</x:v>
      </x:c>
      <x:c r="C6" s="14" t="str">
        <x:v>BTC structure, miner basket, AI compute repricing, dilution/financing events</x:v>
      </x:c>
      <x:c r="D6" s="14" t="str">
        <x:v>Anchor is just BTC noise or AI compute thesis not validated</x:v>
      </x:c>
      <x:c r="E6" s="14" t="str">
        <x:v>Needs BTC/miner correlation confirmation.</x:v>
      </x:c>
    </x:row>
    <x:row r="7">
      <x:c r="A7" s="14" t="str">
        <x:v>HOOD</x:v>
      </x:c>
      <x:c r="B7" s="14" t="str">
        <x:v>BTC / fintech / trading activity</x:v>
      </x:c>
      <x:c r="C7" s="14" t="str">
        <x:v>BTC trend, crypto trading volumes, regulatory news, HOOD transaction/revenue proxy</x:v>
      </x:c>
      <x:c r="D7" s="14" t="str">
        <x:v>Anchor is pure retail hype without trading activity support</x:v>
      </x:c>
      <x:c r="E7" s="14" t="str">
        <x:v>Needs regulatory calm and activity confirmation.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a7e43af19c0454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" t="str">
        <x:v>Status</x:v>
      </x:c>
      <x:c r="B1" s="4" t="str">
        <x:v>Anchor Class</x:v>
      </x:c>
      <x:c r="C1" s="4" t="str">
        <x:v>Source Type</x:v>
      </x:c>
      <x:c r="D1" s="4" t="str">
        <x:v>Use Permission</x:v>
      </x:c>
      <x:c r="E1" s="4" t="str">
        <x:v>Priority</x:v>
      </x:c>
      <x:c r="F1" s="4" t="str">
        <x:v>Ticker</x:v>
      </x:c>
    </x:row>
    <x:row r="2">
      <x:c r="A2" t="str">
        <x:v>Unverified</x:v>
      </x:c>
      <x:c r="B2" t="str">
        <x:v>Absolute High/Low</x:v>
      </x:c>
      <x:c r="C2" t="str">
        <x:v>Chart</x:v>
      </x:c>
      <x:c r="D2" t="str">
        <x:v>Do Not Use</x:v>
      </x:c>
      <x:c r="E2" t="str">
        <x:v>P0</x:v>
      </x:c>
      <x:c r="F2" t="str">
        <x:v>CRDO</x:v>
      </x:c>
    </x:row>
    <x:row r="3">
      <x:c r="A3" t="str">
        <x:v>Candidate</x:v>
      </x:c>
      <x:c r="B3" t="str">
        <x:v>Earnings Gap</x:v>
      </x:c>
      <x:c r="C3" t="str">
        <x:v>Broker</x:v>
      </x:c>
      <x:c r="D3" t="str">
        <x:v>Research Only</x:v>
      </x:c>
      <x:c r="E3" t="str">
        <x:v>P1</x:v>
      </x:c>
      <x:c r="F3" t="str">
        <x:v>NVDA</x:v>
      </x:c>
    </x:row>
    <x:row r="4">
      <x:c r="A4" t="str">
        <x:v>Verified</x:v>
      </x:c>
      <x:c r="B4" t="str">
        <x:v>Major Gap</x:v>
      </x:c>
      <x:c r="C4" t="str">
        <x:v>TradingView</x:v>
      </x:c>
      <x:c r="D4" t="str">
        <x:v>Watch Only</x:v>
      </x:c>
      <x:c r="E4" t="str">
        <x:v>P2</x:v>
      </x:c>
      <x:c r="F4" t="str">
        <x:v>LITE</x:v>
      </x:c>
    </x:row>
    <x:row r="5">
      <x:c r="A5" t="str">
        <x:v>Rejected</x:v>
      </x:c>
      <x:c r="B5" t="str">
        <x:v>Swing High/Low</x:v>
      </x:c>
      <x:c r="C5" t="str">
        <x:v>Company IR</x:v>
      </x:c>
      <x:c r="D5" t="str">
        <x:v>Can Use With Confirmation</x:v>
      </x:c>
      <x:c r="E5" t="str">
        <x:v>P3</x:v>
      </x:c>
      <x:c r="F5" t="str">
        <x:v>IREN</x:v>
      </x:c>
    </x:row>
    <x:row r="6">
      <x:c r="A6" t="str">
        <x:v>Archived</x:v>
      </x:c>
      <x:c r="B6" t="str">
        <x:v>Event Extreme</x:v>
      </x:c>
      <x:c r="C6" t="str">
        <x:v>Manual</x:v>
      </x:c>
      <x:c r="D6" t="str">
        <x:v>Can Use</x:v>
      </x:c>
      <x:c r="E6" t="str"/>
      <x:c r="F6" t="str">
        <x:v>HOOD</x:v>
      </x:c>
    </x:row>
    <x:row r="7">
      <x:c r="A7" t="str"/>
      <x:c r="B7" t="str">
        <x:v>Narrative Reprice</x:v>
      </x:c>
      <x:c r="C7" t="str">
        <x:v>Official Filing</x:v>
      </x:c>
      <x:c r="D7" t="str"/>
      <x:c r="E7" t="str"/>
      <x:c r="F7" t="str"/>
    </x:row>
  </x:sheetData>
  <x:pageMargins left="0.7" right="0.7" top="0.75" bottom="0.75" header="0.3" footer="0.3"/>
</x:worksheet>
</file>