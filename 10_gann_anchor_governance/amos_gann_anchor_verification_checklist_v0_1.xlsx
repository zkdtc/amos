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a7ddfa7c8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2915816226e48df"/>
    <x:sheet xmlns:r="http://schemas.openxmlformats.org/officeDocument/2006/relationships" name="Anchor Checklist" sheetId="2" r:id="R69b8fb2a44f24c82"/>
    <x:sheet xmlns:r="http://schemas.openxmlformats.org/officeDocument/2006/relationships" name="Verification Rules" sheetId="3" r:id="Rb3f4daed9d324ac3"/>
    <x:sheet xmlns:r="http://schemas.openxmlformats.org/officeDocument/2006/relationships" name="Lists" sheetId="4" r:id="Rf62b1ce450ee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  <x:font>
      <x:b/>
      <x:sz val="11"/>
      <x:color rgb="FF4D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3A1F1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FFD166"/>
      </x:font>
      <x:fill>
        <x:patternFill patternType="solid">
          <x:bgColor rgb="2F2812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f9c0c358b4052" /><Relationship Type="http://schemas.openxmlformats.org/officeDocument/2006/relationships/theme" Target="/xl/theme/theme1.xml" Id="R0a43319305be4e1b" /><Relationship Type="http://schemas.openxmlformats.org/officeDocument/2006/relationships/sharedStrings" Target="/xl/sharedStrings.xml" Id="R0b0f3312072f4aec" /><Relationship Type="http://schemas.openxmlformats.org/officeDocument/2006/relationships/worksheet" Target="/xl/worksheets/sheet1.xml" Id="Ra2915816226e48df" /><Relationship Type="http://schemas.openxmlformats.org/officeDocument/2006/relationships/worksheet" Target="/xl/worksheets/sheet2.xml" Id="R69b8fb2a44f24c82" /><Relationship Type="http://schemas.openxmlformats.org/officeDocument/2006/relationships/worksheet" Target="/xl/worksheets/sheet3.xml" Id="Rb3f4daed9d324ac3" /><Relationship Type="http://schemas.openxmlformats.org/officeDocument/2006/relationships/worksheet" Target="/xl/worksheets/sheet4.xml" Id="Rf62b1ce450ee47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1ef6323cf645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Anchor Verification by Ticker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Anchors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'Dashboard'!$B$7:$B$9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Verified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'Dashboard'!$C$7:$C$9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Can Use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'Dashboard'!$D$7:$D$9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Unverified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'Dashboard'!$E$7:$E$9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Avg Verification Score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'Dashboard'!$F$7:$F$9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1ef6323cf645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annAnchorVerificationTable" displayName="GannAnchorVerificationTable" ref="A1:W20" headerRowCount="1">
  <x:tableColumns count="23">
    <x:tableColumn id="1" name="Ticker"/>
    <x:tableColumn id="2" name="Engine File"/>
    <x:tableColumn id="3" name="Anchor ID"/>
    <x:tableColumn id="4" name="Anchor Type"/>
    <x:tableColumn id="5" name="Anchor Date"/>
    <x:tableColumn id="6" name="Anchor Price"/>
    <x:tableColumn id="7" name="Current Quality"/>
    <x:tableColumn id="8" name="Reason / Original Note"/>
    <x:tableColumn id="9" name="Verification Status"/>
    <x:tableColumn id="10" name="Verification Source"/>
    <x:tableColumn id="11" name="Source URL / Screenshot Ref"/>
    <x:tableColumn id="12" name="Chart Type Checked"/>
    <x:tableColumn id="13" name="Was It Absolute High/Low?"/>
    <x:tableColumn id="14" name="Was Volume/Event Confirmed?"/>
    <x:tableColumn id="15" name="Was Market-Wide Context Checked?"/>
    <x:tableColumn id="16" name="Alternative Anchor Exists?"/>
    <x:tableColumn id="17" name="Verification Score"/>
    <x:tableColumn id="18" name="Use Permission"/>
    <x:tableColumn id="19" name="Priority"/>
    <x:tableColumn id="20" name="Reviewer"/>
    <x:tableColumn id="21" name="Review Date"/>
    <x:tableColumn id="22" name="What Would Reject This Anchor?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rificationRulesTable" displayName="VerificationRulesTable" ref="A2:F10" headerRowCount="1">
  <x:tableColumns count="6">
    <x:tableColumn id="1" name="Rule"/>
    <x:tableColumn id="2" name="Requirement"/>
    <x:tableColumn id="3" name="Why It Matters"/>
    <x:tableColumn id="4" name="Can Use?"/>
    <x:tableColumn id="5" name="Action"/>
    <x:tableColumn id="6" name="Column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6734815afd46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f3827a7e7e49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f4473e58ab40f8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2" t="str">
        <x:v>AMOS Gann Anchor Verification Checklist v0.1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26" t="str">
        <x:v>Total Anchors</x:v>
      </x:c>
      <x:c r="B2" s="26" t="n">
        <x:f>COUNTA('Anchor Checklist'!C2:C200)</x:f>
        <x:v>6</x:v>
      </x:c>
      <x:c r="C2" s="26" t="str">
        <x:v>Verified</x:v>
      </x:c>
      <x:c r="D2" s="26" t="n">
        <x:f>COUNTIF('Anchor Checklist'!I2:I200,"Verified")</x:f>
        <x:v>0</x:v>
      </x:c>
      <x:c r="E2" s="26" t="str">
        <x:v>Unverified</x:v>
      </x:c>
      <x:c r="F2" s="26" t="n">
        <x:f>COUNTIF('Anchor Checklist'!I2:I200,"Unverified")</x:f>
        <x:v>6</x:v>
      </x:c>
      <x:c r="G2" s="26" t="str"/>
      <x:c r="H2" s="26" t="str"/>
    </x:row>
    <x:row r="3">
      <x:c r="A3" s="26" t="str">
        <x:v>Can Use</x:v>
      </x:c>
      <x:c r="B3" s="26" t="n">
        <x:f>COUNTIF('Anchor Checklist'!R2:R200,"Can Use")</x:f>
        <x:v>0</x:v>
      </x:c>
      <x:c r="C3" s="26" t="str">
        <x:v>Watch Only</x:v>
      </x:c>
      <x:c r="D3" s="26" t="n">
        <x:f>COUNTIF('Anchor Checklist'!R2:R200,"Watch Only")</x:f>
        <x:v>0</x:v>
      </x:c>
      <x:c r="E3" s="26" t="str">
        <x:v>Do Not Use</x:v>
      </x:c>
      <x:c r="F3" s="26" t="n">
        <x:f>COUNTIF('Anchor Checklist'!R2:R200,"Do Not Use")</x:f>
        <x:v>0</x:v>
      </x:c>
      <x:c r="G3" s="26" t="str"/>
      <x:c r="H3" s="26" t="str"/>
    </x:row>
    <x:row r="4">
      <x:c r="A4" s="26" t="str">
        <x:v>CRDO Anchors</x:v>
      </x:c>
      <x:c r="B4" s="26" t="n">
        <x:f>COUNTIF('Anchor Checklist'!A2:A200,"CRDO")</x:f>
        <x:v>0</x:v>
      </x:c>
      <x:c r="C4" s="26" t="str">
        <x:v>NVDA Anchors</x:v>
      </x:c>
      <x:c r="D4" s="26" t="n">
        <x:f>COUNTIF('Anchor Checklist'!A2:A200,"NVDA")</x:f>
        <x:v>3</x:v>
      </x:c>
      <x:c r="E4" s="26" t="str">
        <x:v>LITE Anchors</x:v>
      </x:c>
      <x:c r="F4" s="26" t="n">
        <x:f>COUNTIF('Anchor Checklist'!A2:A200,"LITE")</x:f>
        <x:v>3</x:v>
      </x:c>
      <x:c r="G4" s="26" t="str"/>
      <x:c r="H4" s="26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</x:row>
    <x:row r="6">
      <x:c r="A6" s="9" t="str">
        <x:v>Ticker</x:v>
      </x:c>
      <x:c r="B6" s="9" t="str">
        <x:v>Anchors</x:v>
      </x:c>
      <x:c r="C6" s="9" t="str">
        <x:v>Verified</x:v>
      </x:c>
      <x:c r="D6" s="9" t="str">
        <x:v>Can Use</x:v>
      </x:c>
      <x:c r="E6" s="9" t="str">
        <x:v>Unverified</x:v>
      </x:c>
      <x:c r="F6" s="9" t="str">
        <x:v>Avg Verification Score</x:v>
      </x:c>
      <x:c r="G6" s="9" t="str"/>
      <x:c r="H6" s="9" t="str"/>
    </x:row>
    <x:row r="7">
      <x:c r="A7" s="14" t="str">
        <x:v>CRDO</x:v>
      </x:c>
      <x:c r="B7" s="14" t="n">
        <x:f>COUNTIF('Anchor Checklist'!A2:A200,"CRDO")</x:f>
        <x:v>0</x:v>
      </x:c>
      <x:c r="C7" s="14" t="n">
        <x:f>COUNTIFS('Anchor Checklist'!A2:A200,"CRDO",'Anchor Checklist'!I2:I200,"Verified")</x:f>
        <x:v>0</x:v>
      </x:c>
      <x:c r="D7" s="14" t="n">
        <x:f>COUNTIFS('Anchor Checklist'!A2:A200,"CRDO",'Anchor Checklist'!R2:R200,"Can Use")</x:f>
        <x:v>0</x:v>
      </x:c>
      <x:c r="E7" s="14" t="n">
        <x:f>COUNTIFS('Anchor Checklist'!A2:A200,"CRDO",'Anchor Checklist'!I2:I200,"Unverified")</x:f>
        <x:v>0</x:v>
      </x:c>
      <x:c r="F7" s="14" t="str">
        <x:f>IFERROR(ROUND(SUMIF('Anchor Checklist'!A2:A200,"CRDO",'Anchor Checklist'!Q2:Q200)/COUNTIF('Anchor Checklist'!A2:A200,"CRDO"),0),"")</x:f>
      </x:c>
      <x:c r="G7" s="14" t="str"/>
      <x:c r="H7" s="14" t="str"/>
    </x:row>
    <x:row r="8">
      <x:c r="A8" s="14" t="str">
        <x:v>NVDA</x:v>
      </x:c>
      <x:c r="B8" s="14" t="n">
        <x:f>COUNTIF('Anchor Checklist'!A2:A200,"NVDA")</x:f>
        <x:v>3</x:v>
      </x:c>
      <x:c r="C8" s="14" t="n">
        <x:f>COUNTIFS('Anchor Checklist'!A2:A200,"NVDA",'Anchor Checklist'!I2:I200,"Verified")</x:f>
        <x:v>0</x:v>
      </x:c>
      <x:c r="D8" s="14" t="n">
        <x:f>COUNTIFS('Anchor Checklist'!A2:A200,"NVDA",'Anchor Checklist'!R2:R200,"Can Use")</x:f>
        <x:v>0</x:v>
      </x:c>
      <x:c r="E8" s="14" t="n">
        <x:f>COUNTIFS('Anchor Checklist'!A2:A200,"NVDA",'Anchor Checklist'!I2:I200,"Unverified")</x:f>
        <x:v>3</x:v>
      </x:c>
      <x:c r="F8" s="14" t="n">
        <x:f>IFERROR(ROUND(SUMIF('Anchor Checklist'!A2:A200,"NVDA",'Anchor Checklist'!Q2:Q200)/COUNTIF('Anchor Checklist'!A2:A200,"NVDA"),0),"")</x:f>
        <x:v>40</x:v>
      </x:c>
      <x:c r="G8" s="14" t="str"/>
      <x:c r="H8" s="14" t="str"/>
    </x:row>
    <x:row r="9">
      <x:c r="A9" s="14" t="str">
        <x:v>LITE</x:v>
      </x:c>
      <x:c r="B9" s="14" t="n">
        <x:f>COUNTIF('Anchor Checklist'!A2:A200,"LITE")</x:f>
        <x:v>3</x:v>
      </x:c>
      <x:c r="C9" s="14" t="n">
        <x:f>COUNTIFS('Anchor Checklist'!A2:A200,"LITE",'Anchor Checklist'!I2:I200,"Verified")</x:f>
        <x:v>0</x:v>
      </x:c>
      <x:c r="D9" s="14" t="n">
        <x:f>COUNTIFS('Anchor Checklist'!A2:A200,"LITE",'Anchor Checklist'!R2:R200,"Can Use")</x:f>
        <x:v>0</x:v>
      </x:c>
      <x:c r="E9" s="14" t="n">
        <x:f>COUNTIFS('Anchor Checklist'!A2:A200,"LITE",'Anchor Checklist'!I2:I200,"Unverified")</x:f>
        <x:v>3</x:v>
      </x:c>
      <x:c r="F9" s="14" t="n">
        <x:f>IFERROR(ROUND(SUMIF('Anchor Checklist'!A2:A200,"LITE",'Anchor Checklist'!Q2:Q200)/COUNTIF('Anchor Checklist'!A2:A200,"LITE"),0),"")</x:f>
        <x:v>40</x:v>
      </x:c>
      <x:c r="G9" s="14" t="str"/>
      <x:c r="H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</x:row>
    <x:row r="11">
      <x:c r="A11" s="32" t="str">
        <x:v>Core Rule</x:v>
      </x:c>
      <x:c r="B11" s="14" t="str">
        <x:v>Any anchor labeled sample/manual-ready cannot be used for real trading until verified from actual chart data.</x:v>
      </x:c>
      <x:c r="C11" s="14" t="str"/>
      <x:c r="D11" s="14" t="str"/>
      <x:c r="E11" s="14" t="str"/>
      <x:c r="F11" s="14" t="str"/>
      <x:c r="G11" s="14" t="str"/>
      <x:c r="H11" s="14" t="str"/>
    </x:row>
  </x:sheetData>
  <x:mergeCells>
    <x:mergeCell ref="A1:H1"/>
    <x:mergeCell ref="A11:H11"/>
  </x:mergeCells>
  <x:pageMargins left="0.7" right="0.7" top="0.75" bottom="0.75" header="0.3" footer="0.3"/>
  <x:drawing xmlns:r="http://schemas.openxmlformats.org/officeDocument/2006/relationships" r:id="Rd66734815afd4687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8" hidden="0" customWidth="1"/>
    <x:col min="5" max="5" width="13" hidden="0" customWidth="1"/>
    <x:col min="6" max="6" width="12" hidden="0" customWidth="1"/>
    <x:col min="7" max="7" width="12" hidden="0" customWidth="1"/>
    <x:col min="8" max="8" width="40" hidden="0" customWidth="1"/>
    <x:col min="9" max="9" width="16" hidden="0" customWidth="1"/>
    <x:col min="10" max="10" width="18" hidden="0" customWidth="1"/>
    <x:col min="11" max="11" width="30" hidden="0" customWidth="1"/>
    <x:col min="12" max="12" width="18" hidden="0" customWidth="1"/>
    <x:col min="13" max="13" width="18" hidden="0" customWidth="1"/>
    <x:col min="14" max="14" width="20" hidden="0" customWidth="1"/>
    <x:col min="15" max="15" width="22" hidden="0" customWidth="1"/>
    <x:col min="16" max="16" width="20" hidden="0" customWidth="1"/>
    <x:col min="17" max="17" width="16" hidden="0" customWidth="1"/>
    <x:col min="18" max="18" width="22" hidden="0" customWidth="1"/>
    <x:col min="19" max="19" width="10" hidden="0" customWidth="1"/>
    <x:col min="20" max="20" width="14" hidden="0" customWidth="1"/>
    <x:col min="21" max="21" width="13" hidden="0" customWidth="1"/>
    <x:col min="22" max="22" width="36" hidden="0" customWidth="1"/>
    <x:col min="23" max="23" width="28" hidden="0" customWidth="1"/>
  </x:cols>
  <x:sheetData>
    <x:row r="1">
      <x:c r="A1" s="10" t="str">
        <x:v>Ticker</x:v>
      </x:c>
      <x:c r="B1" s="10" t="str">
        <x:v>Engine File</x:v>
      </x:c>
      <x:c r="C1" s="10" t="str">
        <x:v>Anchor ID</x:v>
      </x:c>
      <x:c r="D1" s="10" t="str">
        <x:v>Anchor Type</x:v>
      </x:c>
      <x:c r="E1" s="10" t="str">
        <x:v>Anchor Date</x:v>
      </x:c>
      <x:c r="F1" s="10" t="str">
        <x:v>Anchor Price</x:v>
      </x:c>
      <x:c r="G1" s="10" t="str">
        <x:v>Current Quality</x:v>
      </x:c>
      <x:c r="H1" s="10" t="str">
        <x:v>Reason / Original Note</x:v>
      </x:c>
      <x:c r="I1" s="10" t="str">
        <x:v>Verification Status</x:v>
      </x:c>
      <x:c r="J1" s="10" t="str">
        <x:v>Verification Source</x:v>
      </x:c>
      <x:c r="K1" s="10" t="str">
        <x:v>Source URL / Screenshot Ref</x:v>
      </x:c>
      <x:c r="L1" s="10" t="str">
        <x:v>Chart Type Checked</x:v>
      </x:c>
      <x:c r="M1" s="10" t="str">
        <x:v>Was It Absolute High/Low?</x:v>
      </x:c>
      <x:c r="N1" s="10" t="str">
        <x:v>Was Volume/Event Confirmed?</x:v>
      </x:c>
      <x:c r="O1" s="10" t="str">
        <x:v>Was Market-Wide Context Checked?</x:v>
      </x:c>
      <x:c r="P1" s="10" t="str">
        <x:v>Alternative Anchor Exists?</x:v>
      </x:c>
      <x:c r="Q1" s="10" t="str">
        <x:v>Verification Score</x:v>
      </x:c>
      <x:c r="R1" s="10" t="str">
        <x:v>Use Permission</x:v>
      </x:c>
      <x:c r="S1" s="10" t="str">
        <x:v>Priority</x:v>
      </x:c>
      <x:c r="T1" s="10" t="str">
        <x:v>Reviewer</x:v>
      </x:c>
      <x:c r="U1" s="10" t="str">
        <x:v>Review Date</x:v>
      </x:c>
      <x:c r="V1" s="10" t="str">
        <x:v>What Would Reject This Anchor?</x:v>
      </x:c>
      <x:c r="W1" s="10" t="str">
        <x:v>Notes</x:v>
      </x:c>
    </x:row>
    <x:row r="2">
      <x:c r="A2" s="14" t="str">
        <x:v>NVDA</x:v>
      </x:c>
      <x:c r="B2" s="14" t="str">
        <x:v>amos_nvda_gann_engine_v0_1.json</x:v>
      </x:c>
      <x:c r="C2" s="14" t="str">
        <x:v>nvda_sample_major_low_2025_04_07</x:v>
      </x:c>
      <x:c r="D2" s="14" t="str">
        <x:v>sample_major_low</x:v>
      </x:c>
      <x:c r="E2" s="14" t="str">
        <x:v>2025-04-07</x:v>
      </x:c>
      <x:c r="F2" s="14" t="n">
        <x:v>86.62</x:v>
      </x:c>
      <x:c r="G2" s="14" t="n">
        <x:v>75</x:v>
      </x:c>
      <x:c r="H2" s="14" t="str">
        <x:v>Sample only: market-wide tariff/panic low placeholder</x:v>
      </x:c>
      <x:c r="I2" s="14" t="str">
        <x:v>Unverified</x:v>
      </x:c>
      <x:c r="J2" s="14" t="str"/>
      <x:c r="K2" s="14" t="str"/>
      <x:c r="L2" s="14" t="str"/>
      <x:c r="M2" s="14" t="str">
        <x:v>Unknown</x:v>
      </x:c>
      <x:c r="N2" s="14" t="str">
        <x:v>Unknown</x:v>
      </x:c>
      <x:c r="O2" s="14" t="str">
        <x:v>Unknown</x:v>
      </x:c>
      <x:c r="P2" s="14" t="str">
        <x:v>Unknown</x:v>
      </x:c>
      <x:c r="Q2" s="14" t="n">
        <x:f>IF(I2="Verified",ROUND(G2*0.35+IF(M2="Yes",20,0)+IF(N2="Yes",15,0)+IF(O2="Yes",15,0)+IF(P2="No",15,0),0),IF(I2="Candidate",MIN(60,G2),IF(I2="Rejected",0,MIN(40,G2))))</x:f>
        <x:v>40</x:v>
      </x:c>
      <x:c r="R2" s="14" t="str">
        <x:f>IF(Q2&gt;=80,"Can Use",IF(Q2&gt;=65,"Can Use With Confirmation",IF(Q2&gt;=50,"Watch Only",IF(Q2&gt;=30,"Research Only","Do Not Use"))))</x:f>
        <x:v>Research Only</x:v>
      </x:c>
      <x:c r="S2" s="14" t="str">
        <x:f>IF(A2="CRDO","P0",IF(A2="LITE","P0",IF(A2="NVDA","P1","P2")))</x:f>
        <x:v>P1</x:v>
      </x:c>
      <x:c r="T2" s="14" t="str">
        <x:v>AMOS/User</x:v>
      </x:c>
      <x:c r="U2" s="14" t="str">
        <x:v>2026-05-24</x:v>
      </x:c>
      <x:c r="V2" s="14" t="str">
        <x:v>If actual chart does not show a market-recognized extreme/gap/event pivot on this date/price.</x:v>
      </x:c>
      <x:c r="W2" s="14" t="str"/>
    </x:row>
    <x:row r="3">
      <x:c r="A3" s="14" t="str">
        <x:v>NVDA</x:v>
      </x:c>
      <x:c r="B3" s="14" t="str">
        <x:v>amos_nvda_gann_engine_v0_1.json</x:v>
      </x:c>
      <x:c r="C3" s="14" t="str">
        <x:v>nvda_sample_earnings_gap_2025_08_28</x:v>
      </x:c>
      <x:c r="D3" s="14" t="str">
        <x:v>sample_earnings_gap</x:v>
      </x:c>
      <x:c r="E3" s="14" t="str">
        <x:v>2025-08-28</x:v>
      </x:c>
      <x:c r="F3" s="14" t="n">
        <x:v>125.61</x:v>
      </x:c>
      <x:c r="G3" s="14" t="n">
        <x:v>68</x:v>
      </x:c>
      <x:c r="H3" s="14" t="str">
        <x:v>Sample only: earnings/event anchor placeholder</x:v>
      </x:c>
      <x:c r="I3" s="14" t="str">
        <x:v>Unverified</x:v>
      </x:c>
      <x:c r="J3" s="14" t="str"/>
      <x:c r="K3" s="14" t="str"/>
      <x:c r="L3" s="14" t="str"/>
      <x:c r="M3" s="14" t="str">
        <x:v>Unknown</x:v>
      </x:c>
      <x:c r="N3" s="14" t="str">
        <x:v>Unknown</x:v>
      </x:c>
      <x:c r="O3" s="14" t="str">
        <x:v>Unknown</x:v>
      </x:c>
      <x:c r="P3" s="14" t="str">
        <x:v>Unknown</x:v>
      </x:c>
      <x:c r="Q3" s="14" t="n">
        <x:f>IF(I3="Verified",ROUND(G3*0.35+IF(M3="Yes",20,0)+IF(N3="Yes",15,0)+IF(O3="Yes",15,0)+IF(P3="No",15,0),0),IF(I3="Candidate",MIN(60,G3),IF(I3="Rejected",0,MIN(40,G3))))</x:f>
        <x:v>40</x:v>
      </x:c>
      <x:c r="R3" s="14" t="str">
        <x:f>IF(Q3&gt;=80,"Can Use",IF(Q3&gt;=65,"Can Use With Confirmation",IF(Q3&gt;=50,"Watch Only",IF(Q3&gt;=30,"Research Only","Do Not Use"))))</x:f>
        <x:v>Research Only</x:v>
      </x:c>
      <x:c r="S3" s="14" t="str">
        <x:f>IF(A3="CRDO","P0",IF(A3="LITE","P0",IF(A3="NVDA","P1","P2")))</x:f>
        <x:v>P1</x:v>
      </x:c>
      <x:c r="T3" s="14" t="str">
        <x:v>AMOS/User</x:v>
      </x:c>
      <x:c r="U3" s="14" t="str">
        <x:v>2026-05-24</x:v>
      </x:c>
      <x:c r="V3" s="14" t="str">
        <x:v>If actual chart does not show a market-recognized extreme/gap/event pivot on this date/price.</x:v>
      </x:c>
      <x:c r="W3" s="14" t="str"/>
    </x:row>
    <x:row r="4">
      <x:c r="A4" s="14" t="str">
        <x:v>NVDA</x:v>
      </x:c>
      <x:c r="B4" s="14" t="str">
        <x:v>amos_nvda_gann_engine_v0_1.json</x:v>
      </x:c>
      <x:c r="C4" s="14" t="str">
        <x:v>nvda_sample_major_high_2026_02_14</x:v>
      </x:c>
      <x:c r="D4" s="14" t="str">
        <x:v>sample_major_high</x:v>
      </x:c>
      <x:c r="E4" s="14" t="str">
        <x:v>2026-02-14</x:v>
      </x:c>
      <x:c r="F4" s="14" t="n">
        <x:v>153.13</x:v>
      </x:c>
      <x:c r="G4" s="14" t="n">
        <x:v>72</x:v>
      </x:c>
      <x:c r="H4" s="14" t="str">
        <x:v>Sample only: major high placeholder</x:v>
      </x:c>
      <x:c r="I4" s="14" t="str">
        <x:v>Unverified</x:v>
      </x:c>
      <x:c r="J4" s="14" t="str"/>
      <x:c r="K4" s="14" t="str"/>
      <x:c r="L4" s="14" t="str"/>
      <x:c r="M4" s="14" t="str">
        <x:v>Unknown</x:v>
      </x:c>
      <x:c r="N4" s="14" t="str">
        <x:v>Unknown</x:v>
      </x:c>
      <x:c r="O4" s="14" t="str">
        <x:v>Unknown</x:v>
      </x:c>
      <x:c r="P4" s="14" t="str">
        <x:v>Unknown</x:v>
      </x:c>
      <x:c r="Q4" s="14" t="n">
        <x:f>IF(I4="Verified",ROUND(G4*0.35+IF(M4="Yes",20,0)+IF(N4="Yes",15,0)+IF(O4="Yes",15,0)+IF(P4="No",15,0),0),IF(I4="Candidate",MIN(60,G4),IF(I4="Rejected",0,MIN(40,G4))))</x:f>
        <x:v>40</x:v>
      </x:c>
      <x:c r="R4" s="14" t="str">
        <x:f>IF(Q4&gt;=80,"Can Use",IF(Q4&gt;=65,"Can Use With Confirmation",IF(Q4&gt;=50,"Watch Only",IF(Q4&gt;=30,"Research Only","Do Not Use"))))</x:f>
        <x:v>Research Only</x:v>
      </x:c>
      <x:c r="S4" s="14" t="str">
        <x:f>IF(A4="CRDO","P0",IF(A4="LITE","P0",IF(A4="NVDA","P1","P2")))</x:f>
        <x:v>P1</x:v>
      </x:c>
      <x:c r="T4" s="14" t="str">
        <x:v>AMOS/User</x:v>
      </x:c>
      <x:c r="U4" s="14" t="str">
        <x:v>2026-05-24</x:v>
      </x:c>
      <x:c r="V4" s="14" t="str">
        <x:v>If actual chart does not show a market-recognized extreme/gap/event pivot on this date/price.</x:v>
      </x:c>
      <x:c r="W4" s="14" t="str"/>
    </x:row>
    <x:row r="5">
      <x:c r="A5" s="14" t="str">
        <x:v>LITE</x:v>
      </x:c>
      <x:c r="B5" s="14" t="str">
        <x:v>amos_lite_gann_engine_v0_1.json</x:v>
      </x:c>
      <x:c r="C5" s="14" t="str">
        <x:v>lite_sample_major_low_2025_04_08</x:v>
      </x:c>
      <x:c r="D5" s="14" t="str">
        <x:v>sample_major_low</x:v>
      </x:c>
      <x:c r="E5" s="14" t="str">
        <x:v>2025-04-08</x:v>
      </x:c>
      <x:c r="F5" s="14" t="n">
        <x:v>38.44</x:v>
      </x:c>
      <x:c r="G5" s="14" t="n">
        <x:v>72</x:v>
      </x:c>
      <x:c r="H5" s="14" t="str">
        <x:v>Sample only: market-wide panic / optical reset placeholder</x:v>
      </x:c>
      <x:c r="I5" s="14" t="str">
        <x:v>Unverified</x:v>
      </x:c>
      <x:c r="J5" s="14" t="str"/>
      <x:c r="K5" s="14" t="str"/>
      <x:c r="L5" s="14" t="str"/>
      <x:c r="M5" s="14" t="str">
        <x:v>Unknown</x:v>
      </x:c>
      <x:c r="N5" s="14" t="str">
        <x:v>Unknown</x:v>
      </x:c>
      <x:c r="O5" s="14" t="str">
        <x:v>Unknown</x:v>
      </x:c>
      <x:c r="P5" s="14" t="str">
        <x:v>Unknown</x:v>
      </x:c>
      <x:c r="Q5" s="14" t="n">
        <x:f>IF(I5="Verified",ROUND(G5*0.35+IF(M5="Yes",20,0)+IF(N5="Yes",15,0)+IF(O5="Yes",15,0)+IF(P5="No",15,0),0),IF(I5="Candidate",MIN(60,G5),IF(I5="Rejected",0,MIN(40,G5))))</x:f>
        <x:v>40</x:v>
      </x:c>
      <x:c r="R5" s="14" t="str">
        <x:f>IF(Q5&gt;=80,"Can Use",IF(Q5&gt;=65,"Can Use With Confirmation",IF(Q5&gt;=50,"Watch Only",IF(Q5&gt;=30,"Research Only","Do Not Use"))))</x:f>
        <x:v>Research Only</x:v>
      </x:c>
      <x:c r="S5" s="14" t="str">
        <x:f>IF(A5="CRDO","P0",IF(A5="LITE","P0",IF(A5="NVDA","P1","P2")))</x:f>
        <x:v>P0</x:v>
      </x:c>
      <x:c r="T5" s="14" t="str">
        <x:v>AMOS/User</x:v>
      </x:c>
      <x:c r="U5" s="14" t="str">
        <x:v>2026-05-24</x:v>
      </x:c>
      <x:c r="V5" s="14" t="str">
        <x:v>If actual chart does not show a market-recognized extreme/gap/event pivot on this date/price.</x:v>
      </x:c>
      <x:c r="W5" s="14" t="str"/>
    </x:row>
    <x:row r="6">
      <x:c r="A6" s="14" t="str">
        <x:v>LITE</x:v>
      </x:c>
      <x:c r="B6" s="14" t="str">
        <x:v>amos_lite_gann_engine_v0_1.json</x:v>
      </x:c>
      <x:c r="C6" s="14" t="str">
        <x:v>lite_sample_earnings_gap_2025_11_07</x:v>
      </x:c>
      <x:c r="D6" s="14" t="str">
        <x:v>sample_earnings_gap</x:v>
      </x:c>
      <x:c r="E6" s="14" t="str">
        <x:v>2025-11-07</x:v>
      </x:c>
      <x:c r="F6" s="14" t="n">
        <x:v>78.35</x:v>
      </x:c>
      <x:c r="G6" s="14" t="n">
        <x:v>66</x:v>
      </x:c>
      <x:c r="H6" s="14" t="str">
        <x:v>Sample only: earnings/event anchor placeholder</x:v>
      </x:c>
      <x:c r="I6" s="14" t="str">
        <x:v>Unverified</x:v>
      </x:c>
      <x:c r="J6" s="14" t="str"/>
      <x:c r="K6" s="14" t="str"/>
      <x:c r="L6" s="14" t="str"/>
      <x:c r="M6" s="14" t="str">
        <x:v>Unknown</x:v>
      </x:c>
      <x:c r="N6" s="14" t="str">
        <x:v>Unknown</x:v>
      </x:c>
      <x:c r="O6" s="14" t="str">
        <x:v>Unknown</x:v>
      </x:c>
      <x:c r="P6" s="14" t="str">
        <x:v>Unknown</x:v>
      </x:c>
      <x:c r="Q6" s="14" t="n">
        <x:f>IF(I6="Verified",ROUND(G6*0.35+IF(M6="Yes",20,0)+IF(N6="Yes",15,0)+IF(O6="Yes",15,0)+IF(P6="No",15,0),0),IF(I6="Candidate",MIN(60,G6),IF(I6="Rejected",0,MIN(40,G6))))</x:f>
        <x:v>40</x:v>
      </x:c>
      <x:c r="R6" s="14" t="str">
        <x:f>IF(Q6&gt;=80,"Can Use",IF(Q6&gt;=65,"Can Use With Confirmation",IF(Q6&gt;=50,"Watch Only",IF(Q6&gt;=30,"Research Only","Do Not Use"))))</x:f>
        <x:v>Research Only</x:v>
      </x:c>
      <x:c r="S6" s="14" t="str">
        <x:f>IF(A6="CRDO","P0",IF(A6="LITE","P0",IF(A6="NVDA","P1","P2")))</x:f>
        <x:v>P0</x:v>
      </x:c>
      <x:c r="T6" s="14" t="str">
        <x:v>AMOS/User</x:v>
      </x:c>
      <x:c r="U6" s="14" t="str">
        <x:v>2026-05-24</x:v>
      </x:c>
      <x:c r="V6" s="14" t="str">
        <x:v>If actual chart does not show a market-recognized extreme/gap/event pivot on this date/price.</x:v>
      </x:c>
      <x:c r="W6" s="14" t="str"/>
    </x:row>
    <x:row r="7">
      <x:c r="A7" s="14" t="str">
        <x:v>LITE</x:v>
      </x:c>
      <x:c r="B7" s="14" t="str">
        <x:v>amos_lite_gann_engine_v0_1.json</x:v>
      </x:c>
      <x:c r="C7" s="14" t="str">
        <x:v>lite_sample_swing_high_2026_03_18</x:v>
      </x:c>
      <x:c r="D7" s="14" t="str">
        <x:v>sample_swing_high</x:v>
      </x:c>
      <x:c r="E7" s="14" t="str">
        <x:v>2026-03-18</x:v>
      </x:c>
      <x:c r="F7" s="14" t="n">
        <x:v>106.7</x:v>
      </x:c>
      <x:c r="G7" s="14" t="n">
        <x:v>70</x:v>
      </x:c>
      <x:c r="H7" s="14" t="str">
        <x:v>Sample only: swing high / recovery high placeholder</x:v>
      </x:c>
      <x:c r="I7" s="14" t="str">
        <x:v>Unverified</x:v>
      </x:c>
      <x:c r="J7" s="14" t="str"/>
      <x:c r="K7" s="14" t="str"/>
      <x:c r="L7" s="14" t="str"/>
      <x:c r="M7" s="14" t="str">
        <x:v>Unknown</x:v>
      </x:c>
      <x:c r="N7" s="14" t="str">
        <x:v>Unknown</x:v>
      </x:c>
      <x:c r="O7" s="14" t="str">
        <x:v>Unknown</x:v>
      </x:c>
      <x:c r="P7" s="14" t="str">
        <x:v>Unknown</x:v>
      </x:c>
      <x:c r="Q7" s="14" t="n">
        <x:f>IF(I7="Verified",ROUND(G7*0.35+IF(M7="Yes",20,0)+IF(N7="Yes",15,0)+IF(O7="Yes",15,0)+IF(P7="No",15,0),0),IF(I7="Candidate",MIN(60,G7),IF(I7="Rejected",0,MIN(40,G7))))</x:f>
        <x:v>40</x:v>
      </x:c>
      <x:c r="R7" s="14" t="str">
        <x:f>IF(Q7&gt;=80,"Can Use",IF(Q7&gt;=65,"Can Use With Confirmation",IF(Q7&gt;=50,"Watch Only",IF(Q7&gt;=30,"Research Only","Do Not Use"))))</x:f>
        <x:v>Research Only</x:v>
      </x:c>
      <x:c r="S7" s="14" t="str">
        <x:f>IF(A7="CRDO","P0",IF(A7="LITE","P0",IF(A7="NVDA","P1","P2")))</x:f>
        <x:v>P0</x:v>
      </x:c>
      <x:c r="T7" s="14" t="str">
        <x:v>AMOS/User</x:v>
      </x:c>
      <x:c r="U7" s="14" t="str">
        <x:v>2026-05-24</x:v>
      </x:c>
      <x:c r="V7" s="14" t="str">
        <x:v>If actual chart does not show a market-recognized extreme/gap/event pivot on this date/price.</x:v>
      </x:c>
      <x:c r="W7" s="14" t="str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 t="n">
        <x:f>IF(I8="Verified",ROUND(G8*0.35+IF(M8="Yes",20,0)+IF(N8="Yes",15,0)+IF(O8="Yes",15,0)+IF(P8="No",15,0),0),IF(I8="Candidate",MIN(60,G8),IF(I8="Rejected",0,MIN(40,G8))))</x:f>
        <x:v>40</x:v>
      </x:c>
      <x:c r="R8" s="14" t="str">
        <x:f>IF(Q8&gt;=80,"Can Use",IF(Q8&gt;=65,"Can Use With Confirmation",IF(Q8&gt;=50,"Watch Only",IF(Q8&gt;=30,"Research Only","Do Not Use"))))</x:f>
        <x:v>Research Only</x:v>
      </x:c>
      <x:c r="S8" s="14" t="str">
        <x:f>IF(A8="CRDO","P0",IF(A8="LITE","P0",IF(A8="NVDA","P1","P2")))</x:f>
        <x:v>P2</x:v>
      </x:c>
      <x:c r="T8" s="14"/>
      <x:c r="U8" s="14"/>
      <x:c r="V8" s="14"/>
      <x:c r="W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 t="n">
        <x:f>IF(I9="Verified",ROUND(G9*0.35+IF(M9="Yes",20,0)+IF(N9="Yes",15,0)+IF(O9="Yes",15,0)+IF(P9="No",15,0),0),IF(I9="Candidate",MIN(60,G9),IF(I9="Rejected",0,MIN(40,G9))))</x:f>
        <x:v>40</x:v>
      </x:c>
      <x:c r="R9" s="14" t="str">
        <x:f>IF(Q9&gt;=80,"Can Use",IF(Q9&gt;=65,"Can Use With Confirmation",IF(Q9&gt;=50,"Watch Only",IF(Q9&gt;=30,"Research Only","Do Not Use"))))</x:f>
        <x:v>Research Only</x:v>
      </x:c>
      <x:c r="S9" s="14" t="str">
        <x:f>IF(A9="CRDO","P0",IF(A9="LITE","P0",IF(A9="NVDA","P1","P2")))</x:f>
        <x:v>P2</x:v>
      </x:c>
      <x:c r="T9" s="14"/>
      <x:c r="U9" s="14"/>
      <x:c r="V9" s="14"/>
      <x:c r="W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 t="n">
        <x:f>IF(I10="Verified",ROUND(G10*0.35+IF(M10="Yes",20,0)+IF(N10="Yes",15,0)+IF(O10="Yes",15,0)+IF(P10="No",15,0),0),IF(I10="Candidate",MIN(60,G10),IF(I10="Rejected",0,MIN(40,G10))))</x:f>
        <x:v>40</x:v>
      </x:c>
      <x:c r="R10" s="14" t="str">
        <x:f>IF(Q10&gt;=80,"Can Use",IF(Q10&gt;=65,"Can Use With Confirmation",IF(Q10&gt;=50,"Watch Only",IF(Q10&gt;=30,"Research Only","Do Not Use"))))</x:f>
        <x:v>Research Only</x:v>
      </x:c>
      <x:c r="S10" s="14" t="str">
        <x:f>IF(A10="CRDO","P0",IF(A10="LITE","P0",IF(A10="NVDA","P1","P2")))</x:f>
        <x:v>P2</x:v>
      </x:c>
      <x:c r="T10" s="14"/>
      <x:c r="U10" s="14"/>
      <x:c r="V10" s="14"/>
      <x:c r="W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 t="n">
        <x:f>IF(I11="Verified",ROUND(G11*0.35+IF(M11="Yes",20,0)+IF(N11="Yes",15,0)+IF(O11="Yes",15,0)+IF(P11="No",15,0),0),IF(I11="Candidate",MIN(60,G11),IF(I11="Rejected",0,MIN(40,G11))))</x:f>
        <x:v>40</x:v>
      </x:c>
      <x:c r="R11" s="14" t="str">
        <x:f>IF(Q11&gt;=80,"Can Use",IF(Q11&gt;=65,"Can Use With Confirmation",IF(Q11&gt;=50,"Watch Only",IF(Q11&gt;=30,"Research Only","Do Not Use"))))</x:f>
        <x:v>Research Only</x:v>
      </x:c>
      <x:c r="S11" s="14" t="str">
        <x:f>IF(A11="CRDO","P0",IF(A11="LITE","P0",IF(A11="NVDA","P1","P2")))</x:f>
        <x:v>P2</x:v>
      </x:c>
      <x:c r="T11" s="14"/>
      <x:c r="U11" s="14"/>
      <x:c r="V11" s="14"/>
      <x:c r="W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 t="n">
        <x:f>IF(I12="Verified",ROUND(G12*0.35+IF(M12="Yes",20,0)+IF(N12="Yes",15,0)+IF(O12="Yes",15,0)+IF(P12="No",15,0),0),IF(I12="Candidate",MIN(60,G12),IF(I12="Rejected",0,MIN(40,G12))))</x:f>
        <x:v>40</x:v>
      </x:c>
      <x:c r="R12" s="14" t="str">
        <x:f>IF(Q12&gt;=80,"Can Use",IF(Q12&gt;=65,"Can Use With Confirmation",IF(Q12&gt;=50,"Watch Only",IF(Q12&gt;=30,"Research Only","Do Not Use"))))</x:f>
        <x:v>Research Only</x:v>
      </x:c>
      <x:c r="S12" s="14" t="str">
        <x:f>IF(A12="CRDO","P0",IF(A12="LITE","P0",IF(A12="NVDA","P1","P2")))</x:f>
        <x:v>P2</x:v>
      </x:c>
      <x:c r="T12" s="14"/>
      <x:c r="U12" s="14"/>
      <x:c r="V12" s="14"/>
      <x:c r="W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 t="n">
        <x:f>IF(I13="Verified",ROUND(G13*0.35+IF(M13="Yes",20,0)+IF(N13="Yes",15,0)+IF(O13="Yes",15,0)+IF(P13="No",15,0),0),IF(I13="Candidate",MIN(60,G13),IF(I13="Rejected",0,MIN(40,G13))))</x:f>
        <x:v>40</x:v>
      </x:c>
      <x:c r="R13" s="14" t="str">
        <x:f>IF(Q13&gt;=80,"Can Use",IF(Q13&gt;=65,"Can Use With Confirmation",IF(Q13&gt;=50,"Watch Only",IF(Q13&gt;=30,"Research Only","Do Not Use"))))</x:f>
        <x:v>Research Only</x:v>
      </x:c>
      <x:c r="S13" s="14" t="str">
        <x:f>IF(A13="CRDO","P0",IF(A13="LITE","P0",IF(A13="NVDA","P1","P2")))</x:f>
        <x:v>P2</x:v>
      </x:c>
      <x:c r="T13" s="14"/>
      <x:c r="U13" s="14"/>
      <x:c r="V13" s="14"/>
      <x:c r="W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 t="n">
        <x:f>IF(I14="Verified",ROUND(G14*0.35+IF(M14="Yes",20,0)+IF(N14="Yes",15,0)+IF(O14="Yes",15,0)+IF(P14="No",15,0),0),IF(I14="Candidate",MIN(60,G14),IF(I14="Rejected",0,MIN(40,G14))))</x:f>
        <x:v>40</x:v>
      </x:c>
      <x:c r="R14" s="14" t="str">
        <x:f>IF(Q14&gt;=80,"Can Use",IF(Q14&gt;=65,"Can Use With Confirmation",IF(Q14&gt;=50,"Watch Only",IF(Q14&gt;=30,"Research Only","Do Not Use"))))</x:f>
        <x:v>Research Only</x:v>
      </x:c>
      <x:c r="S14" s="14" t="str">
        <x:f>IF(A14="CRDO","P0",IF(A14="LITE","P0",IF(A14="NVDA","P1","P2")))</x:f>
        <x:v>P2</x:v>
      </x:c>
      <x:c r="T14" s="14"/>
      <x:c r="U14" s="14"/>
      <x:c r="V14" s="14"/>
      <x:c r="W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 t="n">
        <x:f>IF(I15="Verified",ROUND(G15*0.35+IF(M15="Yes",20,0)+IF(N15="Yes",15,0)+IF(O15="Yes",15,0)+IF(P15="No",15,0),0),IF(I15="Candidate",MIN(60,G15),IF(I15="Rejected",0,MIN(40,G15))))</x:f>
        <x:v>40</x:v>
      </x:c>
      <x:c r="R15" s="14" t="str">
        <x:f>IF(Q15&gt;=80,"Can Use",IF(Q15&gt;=65,"Can Use With Confirmation",IF(Q15&gt;=50,"Watch Only",IF(Q15&gt;=30,"Research Only","Do Not Use"))))</x:f>
        <x:v>Research Only</x:v>
      </x:c>
      <x:c r="S15" s="14" t="str">
        <x:f>IF(A15="CRDO","P0",IF(A15="LITE","P0",IF(A15="NVDA","P1","P2")))</x:f>
        <x:v>P2</x:v>
      </x:c>
      <x:c r="T15" s="14"/>
      <x:c r="U15" s="14"/>
      <x:c r="V15" s="14"/>
      <x:c r="W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 t="n">
        <x:f>IF(I16="Verified",ROUND(G16*0.35+IF(M16="Yes",20,0)+IF(N16="Yes",15,0)+IF(O16="Yes",15,0)+IF(P16="No",15,0),0),IF(I16="Candidate",MIN(60,G16),IF(I16="Rejected",0,MIN(40,G16))))</x:f>
        <x:v>40</x:v>
      </x:c>
      <x:c r="R16" s="14" t="str">
        <x:f>IF(Q16&gt;=80,"Can Use",IF(Q16&gt;=65,"Can Use With Confirmation",IF(Q16&gt;=50,"Watch Only",IF(Q16&gt;=30,"Research Only","Do Not Use"))))</x:f>
        <x:v>Research Only</x:v>
      </x:c>
      <x:c r="S16" s="14" t="str">
        <x:f>IF(A16="CRDO","P0",IF(A16="LITE","P0",IF(A16="NVDA","P1","P2")))</x:f>
        <x:v>P2</x:v>
      </x:c>
      <x:c r="T16" s="14"/>
      <x:c r="U16" s="14"/>
      <x:c r="V16" s="14"/>
      <x:c r="W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 t="n">
        <x:f>IF(I17="Verified",ROUND(G17*0.35+IF(M17="Yes",20,0)+IF(N17="Yes",15,0)+IF(O17="Yes",15,0)+IF(P17="No",15,0),0),IF(I17="Candidate",MIN(60,G17),IF(I17="Rejected",0,MIN(40,G17))))</x:f>
        <x:v>40</x:v>
      </x:c>
      <x:c r="R17" s="14" t="str">
        <x:f>IF(Q17&gt;=80,"Can Use",IF(Q17&gt;=65,"Can Use With Confirmation",IF(Q17&gt;=50,"Watch Only",IF(Q17&gt;=30,"Research Only","Do Not Use"))))</x:f>
        <x:v>Research Only</x:v>
      </x:c>
      <x:c r="S17" s="14" t="str">
        <x:f>IF(A17="CRDO","P0",IF(A17="LITE","P0",IF(A17="NVDA","P1","P2")))</x:f>
        <x:v>P2</x:v>
      </x:c>
      <x:c r="T17" s="14"/>
      <x:c r="U17" s="14"/>
      <x:c r="V17" s="14"/>
      <x:c r="W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 t="n">
        <x:f>IF(I18="Verified",ROUND(G18*0.35+IF(M18="Yes",20,0)+IF(N18="Yes",15,0)+IF(O18="Yes",15,0)+IF(P18="No",15,0),0),IF(I18="Candidate",MIN(60,G18),IF(I18="Rejected",0,MIN(40,G18))))</x:f>
        <x:v>40</x:v>
      </x:c>
      <x:c r="R18" s="14" t="str">
        <x:f>IF(Q18&gt;=80,"Can Use",IF(Q18&gt;=65,"Can Use With Confirmation",IF(Q18&gt;=50,"Watch Only",IF(Q18&gt;=30,"Research Only","Do Not Use"))))</x:f>
        <x:v>Research Only</x:v>
      </x:c>
      <x:c r="S18" s="14" t="str">
        <x:f>IF(A18="CRDO","P0",IF(A18="LITE","P0",IF(A18="NVDA","P1","P2")))</x:f>
        <x:v>P2</x:v>
      </x:c>
      <x:c r="T18" s="14"/>
      <x:c r="U18" s="14"/>
      <x:c r="V18" s="14"/>
      <x:c r="W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 t="n">
        <x:f>IF(I19="Verified",ROUND(G19*0.35+IF(M19="Yes",20,0)+IF(N19="Yes",15,0)+IF(O19="Yes",15,0)+IF(P19="No",15,0),0),IF(I19="Candidate",MIN(60,G19),IF(I19="Rejected",0,MIN(40,G19))))</x:f>
        <x:v>40</x:v>
      </x:c>
      <x:c r="R19" s="14" t="str">
        <x:f>IF(Q19&gt;=80,"Can Use",IF(Q19&gt;=65,"Can Use With Confirmation",IF(Q19&gt;=50,"Watch Only",IF(Q19&gt;=30,"Research Only","Do Not Use"))))</x:f>
        <x:v>Research Only</x:v>
      </x:c>
      <x:c r="S19" s="14" t="str">
        <x:f>IF(A19="CRDO","P0",IF(A19="LITE","P0",IF(A19="NVDA","P1","P2")))</x:f>
        <x:v>P2</x:v>
      </x:c>
      <x:c r="T19" s="14"/>
      <x:c r="U19" s="14"/>
      <x:c r="V19" s="14"/>
      <x:c r="W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 t="n">
        <x:f>IF(I20="Verified",ROUND(G20*0.35+IF(M20="Yes",20,0)+IF(N20="Yes",15,0)+IF(O20="Yes",15,0)+IF(P20="No",15,0),0),IF(I20="Candidate",MIN(60,G20),IF(I20="Rejected",0,MIN(40,G20))))</x:f>
        <x:v>40</x:v>
      </x:c>
      <x:c r="R20" s="14" t="str">
        <x:f>IF(Q20&gt;=80,"Can Use",IF(Q20&gt;=65,"Can Use With Confirmation",IF(Q20&gt;=50,"Watch Only",IF(Q20&gt;=30,"Research Only","Do Not Use"))))</x:f>
        <x:v>Research Only</x:v>
      </x:c>
      <x:c r="S20" s="14" t="str">
        <x:f>IF(A20="CRDO","P0",IF(A20="LITE","P0",IF(A20="NVDA","P1","P2")))</x:f>
        <x:v>P2</x:v>
      </x:c>
      <x:c r="T20" s="14"/>
      <x:c r="U20" s="14"/>
      <x:c r="V20" s="14"/>
      <x:c r="W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 t="n">
        <x:f>IF(I21="Verified",ROUND(G21*0.35+IF(M21="Yes",20,0)+IF(N21="Yes",15,0)+IF(O21="Yes",15,0)+IF(P21="No",15,0),0),IF(I21="Candidate",MIN(60,G21),IF(I21="Rejected",0,MIN(40,G21))))</x:f>
        <x:v>40</x:v>
      </x:c>
      <x:c r="R21" s="14" t="str">
        <x:f>IF(Q21&gt;=80,"Can Use",IF(Q21&gt;=65,"Can Use With Confirmation",IF(Q21&gt;=50,"Watch Only",IF(Q21&gt;=30,"Research Only","Do Not Use"))))</x:f>
        <x:v>Research Only</x:v>
      </x:c>
      <x:c r="S21" s="14" t="str">
        <x:f>IF(A21="CRDO","P0",IF(A21="LITE","P0",IF(A21="NVDA","P1","P2")))</x:f>
        <x:v>P2</x:v>
      </x:c>
      <x:c r="T21" s="14"/>
      <x:c r="U21" s="14"/>
      <x:c r="V21" s="14"/>
      <x:c r="W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 t="n">
        <x:f>IF(I22="Verified",ROUND(G22*0.35+IF(M22="Yes",20,0)+IF(N22="Yes",15,0)+IF(O22="Yes",15,0)+IF(P22="No",15,0),0),IF(I22="Candidate",MIN(60,G22),IF(I22="Rejected",0,MIN(40,G22))))</x:f>
        <x:v>40</x:v>
      </x:c>
      <x:c r="R22" s="14" t="str">
        <x:f>IF(Q22&gt;=80,"Can Use",IF(Q22&gt;=65,"Can Use With Confirmation",IF(Q22&gt;=50,"Watch Only",IF(Q22&gt;=30,"Research Only","Do Not Use"))))</x:f>
        <x:v>Research Only</x:v>
      </x:c>
      <x:c r="S22" s="14" t="str">
        <x:f>IF(A22="CRDO","P0",IF(A22="LITE","P0",IF(A22="NVDA","P1","P2")))</x:f>
        <x:v>P2</x:v>
      </x:c>
      <x:c r="T22" s="14"/>
      <x:c r="U22" s="14"/>
      <x:c r="V22" s="14"/>
      <x:c r="W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 t="n">
        <x:f>IF(I23="Verified",ROUND(G23*0.35+IF(M23="Yes",20,0)+IF(N23="Yes",15,0)+IF(O23="Yes",15,0)+IF(P23="No",15,0),0),IF(I23="Candidate",MIN(60,G23),IF(I23="Rejected",0,MIN(40,G23))))</x:f>
        <x:v>40</x:v>
      </x:c>
      <x:c r="R23" s="14" t="str">
        <x:f>IF(Q23&gt;=80,"Can Use",IF(Q23&gt;=65,"Can Use With Confirmation",IF(Q23&gt;=50,"Watch Only",IF(Q23&gt;=30,"Research Only","Do Not Use"))))</x:f>
        <x:v>Research Only</x:v>
      </x:c>
      <x:c r="S23" s="14" t="str">
        <x:f>IF(A23="CRDO","P0",IF(A23="LITE","P0",IF(A23="NVDA","P1","P2")))</x:f>
        <x:v>P2</x:v>
      </x:c>
      <x:c r="T23" s="14"/>
      <x:c r="U23" s="14"/>
      <x:c r="V23" s="14"/>
      <x:c r="W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 t="n">
        <x:f>IF(I24="Verified",ROUND(G24*0.35+IF(M24="Yes",20,0)+IF(N24="Yes",15,0)+IF(O24="Yes",15,0)+IF(P24="No",15,0),0),IF(I24="Candidate",MIN(60,G24),IF(I24="Rejected",0,MIN(40,G24))))</x:f>
        <x:v>40</x:v>
      </x:c>
      <x:c r="R24" s="14" t="str">
        <x:f>IF(Q24&gt;=80,"Can Use",IF(Q24&gt;=65,"Can Use With Confirmation",IF(Q24&gt;=50,"Watch Only",IF(Q24&gt;=30,"Research Only","Do Not Use"))))</x:f>
        <x:v>Research Only</x:v>
      </x:c>
      <x:c r="S24" s="14" t="str">
        <x:f>IF(A24="CRDO","P0",IF(A24="LITE","P0",IF(A24="NVDA","P1","P2")))</x:f>
        <x:v>P2</x:v>
      </x:c>
      <x:c r="T24" s="14"/>
      <x:c r="U24" s="14"/>
      <x:c r="V24" s="14"/>
      <x:c r="W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 t="n">
        <x:f>IF(I25="Verified",ROUND(G25*0.35+IF(M25="Yes",20,0)+IF(N25="Yes",15,0)+IF(O25="Yes",15,0)+IF(P25="No",15,0),0),IF(I25="Candidate",MIN(60,G25),IF(I25="Rejected",0,MIN(40,G25))))</x:f>
        <x:v>40</x:v>
      </x:c>
      <x:c r="R25" s="14" t="str">
        <x:f>IF(Q25&gt;=80,"Can Use",IF(Q25&gt;=65,"Can Use With Confirmation",IF(Q25&gt;=50,"Watch Only",IF(Q25&gt;=30,"Research Only","Do Not Use"))))</x:f>
        <x:v>Research Only</x:v>
      </x:c>
      <x:c r="S25" s="14" t="str">
        <x:f>IF(A25="CRDO","P0",IF(A25="LITE","P0",IF(A25="NVDA","P1","P2")))</x:f>
        <x:v>P2</x:v>
      </x:c>
      <x:c r="T25" s="14"/>
      <x:c r="U25" s="14"/>
      <x:c r="V25" s="14"/>
      <x:c r="W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 t="n">
        <x:f>IF(I26="Verified",ROUND(G26*0.35+IF(M26="Yes",20,0)+IF(N26="Yes",15,0)+IF(O26="Yes",15,0)+IF(P26="No",15,0),0),IF(I26="Candidate",MIN(60,G26),IF(I26="Rejected",0,MIN(40,G26))))</x:f>
        <x:v>40</x:v>
      </x:c>
      <x:c r="R26" s="14" t="str">
        <x:f>IF(Q26&gt;=80,"Can Use",IF(Q26&gt;=65,"Can Use With Confirmation",IF(Q26&gt;=50,"Watch Only",IF(Q26&gt;=30,"Research Only","Do Not Use"))))</x:f>
        <x:v>Research Only</x:v>
      </x:c>
      <x:c r="S26" s="14" t="str">
        <x:f>IF(A26="CRDO","P0",IF(A26="LITE","P0",IF(A26="NVDA","P1","P2")))</x:f>
        <x:v>P2</x:v>
      </x:c>
      <x:c r="T26" s="14"/>
      <x:c r="U26" s="14"/>
      <x:c r="V26" s="14"/>
      <x:c r="W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 t="n">
        <x:f>IF(I27="Verified",ROUND(G27*0.35+IF(M27="Yes",20,0)+IF(N27="Yes",15,0)+IF(O27="Yes",15,0)+IF(P27="No",15,0),0),IF(I27="Candidate",MIN(60,G27),IF(I27="Rejected",0,MIN(40,G27))))</x:f>
        <x:v>40</x:v>
      </x:c>
      <x:c r="R27" s="14" t="str">
        <x:f>IF(Q27&gt;=80,"Can Use",IF(Q27&gt;=65,"Can Use With Confirmation",IF(Q27&gt;=50,"Watch Only",IF(Q27&gt;=30,"Research Only","Do Not Use"))))</x:f>
        <x:v>Research Only</x:v>
      </x:c>
      <x:c r="S27" s="14" t="str">
        <x:f>IF(A27="CRDO","P0",IF(A27="LITE","P0",IF(A27="NVDA","P1","P2")))</x:f>
        <x:v>P2</x:v>
      </x:c>
      <x:c r="T27" s="14"/>
      <x:c r="U27" s="14"/>
      <x:c r="V27" s="14"/>
      <x:c r="W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 t="n">
        <x:f>IF(I28="Verified",ROUND(G28*0.35+IF(M28="Yes",20,0)+IF(N28="Yes",15,0)+IF(O28="Yes",15,0)+IF(P28="No",15,0),0),IF(I28="Candidate",MIN(60,G28),IF(I28="Rejected",0,MIN(40,G28))))</x:f>
        <x:v>40</x:v>
      </x:c>
      <x:c r="R28" s="14" t="str">
        <x:f>IF(Q28&gt;=80,"Can Use",IF(Q28&gt;=65,"Can Use With Confirmation",IF(Q28&gt;=50,"Watch Only",IF(Q28&gt;=30,"Research Only","Do Not Use"))))</x:f>
        <x:v>Research Only</x:v>
      </x:c>
      <x:c r="S28" s="14" t="str">
        <x:f>IF(A28="CRDO","P0",IF(A28="LITE","P0",IF(A28="NVDA","P1","P2")))</x:f>
        <x:v>P2</x:v>
      </x:c>
      <x:c r="T28" s="14"/>
      <x:c r="U28" s="14"/>
      <x:c r="V28" s="14"/>
      <x:c r="W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 t="n">
        <x:f>IF(I29="Verified",ROUND(G29*0.35+IF(M29="Yes",20,0)+IF(N29="Yes",15,0)+IF(O29="Yes",15,0)+IF(P29="No",15,0),0),IF(I29="Candidate",MIN(60,G29),IF(I29="Rejected",0,MIN(40,G29))))</x:f>
        <x:v>40</x:v>
      </x:c>
      <x:c r="R29" s="14" t="str">
        <x:f>IF(Q29&gt;=80,"Can Use",IF(Q29&gt;=65,"Can Use With Confirmation",IF(Q29&gt;=50,"Watch Only",IF(Q29&gt;=30,"Research Only","Do Not Use"))))</x:f>
        <x:v>Research Only</x:v>
      </x:c>
      <x:c r="S29" s="14" t="str">
        <x:f>IF(A29="CRDO","P0",IF(A29="LITE","P0",IF(A29="NVDA","P1","P2")))</x:f>
        <x:v>P2</x:v>
      </x:c>
      <x:c r="T29" s="14"/>
      <x:c r="U29" s="14"/>
      <x:c r="V29" s="14"/>
      <x:c r="W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 t="n">
        <x:f>IF(I30="Verified",ROUND(G30*0.35+IF(M30="Yes",20,0)+IF(N30="Yes",15,0)+IF(O30="Yes",15,0)+IF(P30="No",15,0),0),IF(I30="Candidate",MIN(60,G30),IF(I30="Rejected",0,MIN(40,G30))))</x:f>
        <x:v>40</x:v>
      </x:c>
      <x:c r="R30" s="14" t="str">
        <x:f>IF(Q30&gt;=80,"Can Use",IF(Q30&gt;=65,"Can Use With Confirmation",IF(Q30&gt;=50,"Watch Only",IF(Q30&gt;=30,"Research Only","Do Not Use"))))</x:f>
        <x:v>Research Only</x:v>
      </x:c>
      <x:c r="S30" s="14" t="str">
        <x:f>IF(A30="CRDO","P0",IF(A30="LITE","P0",IF(A30="NVDA","P1","P2")))</x:f>
        <x:v>P2</x:v>
      </x:c>
      <x:c r="T30" s="14"/>
      <x:c r="U30" s="14"/>
      <x:c r="V30" s="14"/>
      <x:c r="W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 t="n">
        <x:f>IF(I31="Verified",ROUND(G31*0.35+IF(M31="Yes",20,0)+IF(N31="Yes",15,0)+IF(O31="Yes",15,0)+IF(P31="No",15,0),0),IF(I31="Candidate",MIN(60,G31),IF(I31="Rejected",0,MIN(40,G31))))</x:f>
        <x:v>40</x:v>
      </x:c>
      <x:c r="R31" s="14" t="str">
        <x:f>IF(Q31&gt;=80,"Can Use",IF(Q31&gt;=65,"Can Use With Confirmation",IF(Q31&gt;=50,"Watch Only",IF(Q31&gt;=30,"Research Only","Do Not Use"))))</x:f>
        <x:v>Research Only</x:v>
      </x:c>
      <x:c r="S31" s="14" t="str">
        <x:f>IF(A31="CRDO","P0",IF(A31="LITE","P0",IF(A31="NVDA","P1","P2")))</x:f>
        <x:v>P2</x:v>
      </x:c>
      <x:c r="T31" s="14"/>
      <x:c r="U31" s="14"/>
      <x:c r="V31" s="14"/>
      <x:c r="W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 t="n">
        <x:f>IF(I32="Verified",ROUND(G32*0.35+IF(M32="Yes",20,0)+IF(N32="Yes",15,0)+IF(O32="Yes",15,0)+IF(P32="No",15,0),0),IF(I32="Candidate",MIN(60,G32),IF(I32="Rejected",0,MIN(40,G32))))</x:f>
        <x:v>40</x:v>
      </x:c>
      <x:c r="R32" s="14" t="str">
        <x:f>IF(Q32&gt;=80,"Can Use",IF(Q32&gt;=65,"Can Use With Confirmation",IF(Q32&gt;=50,"Watch Only",IF(Q32&gt;=30,"Research Only","Do Not Use"))))</x:f>
        <x:v>Research Only</x:v>
      </x:c>
      <x:c r="S32" s="14" t="str">
        <x:f>IF(A32="CRDO","P0",IF(A32="LITE","P0",IF(A32="NVDA","P1","P2")))</x:f>
        <x:v>P2</x:v>
      </x:c>
      <x:c r="T32" s="14"/>
      <x:c r="U32" s="14"/>
      <x:c r="V32" s="14"/>
      <x:c r="W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 t="n">
        <x:f>IF(I33="Verified",ROUND(G33*0.35+IF(M33="Yes",20,0)+IF(N33="Yes",15,0)+IF(O33="Yes",15,0)+IF(P33="No",15,0),0),IF(I33="Candidate",MIN(60,G33),IF(I33="Rejected",0,MIN(40,G33))))</x:f>
        <x:v>40</x:v>
      </x:c>
      <x:c r="R33" s="14" t="str">
        <x:f>IF(Q33&gt;=80,"Can Use",IF(Q33&gt;=65,"Can Use With Confirmation",IF(Q33&gt;=50,"Watch Only",IF(Q33&gt;=30,"Research Only","Do Not Use"))))</x:f>
        <x:v>Research Only</x:v>
      </x:c>
      <x:c r="S33" s="14" t="str">
        <x:f>IF(A33="CRDO","P0",IF(A33="LITE","P0",IF(A33="NVDA","P1","P2")))</x:f>
        <x:v>P2</x:v>
      </x:c>
      <x:c r="T33" s="14"/>
      <x:c r="U33" s="14"/>
      <x:c r="V33" s="14"/>
      <x:c r="W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 t="n">
        <x:f>IF(I34="Verified",ROUND(G34*0.35+IF(M34="Yes",20,0)+IF(N34="Yes",15,0)+IF(O34="Yes",15,0)+IF(P34="No",15,0),0),IF(I34="Candidate",MIN(60,G34),IF(I34="Rejected",0,MIN(40,G34))))</x:f>
        <x:v>40</x:v>
      </x:c>
      <x:c r="R34" s="14" t="str">
        <x:f>IF(Q34&gt;=80,"Can Use",IF(Q34&gt;=65,"Can Use With Confirmation",IF(Q34&gt;=50,"Watch Only",IF(Q34&gt;=30,"Research Only","Do Not Use"))))</x:f>
        <x:v>Research Only</x:v>
      </x:c>
      <x:c r="S34" s="14" t="str">
        <x:f>IF(A34="CRDO","P0",IF(A34="LITE","P0",IF(A34="NVDA","P1","P2")))</x:f>
        <x:v>P2</x:v>
      </x:c>
      <x:c r="T34" s="14"/>
      <x:c r="U34" s="14"/>
      <x:c r="V34" s="14"/>
      <x:c r="W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 t="n">
        <x:f>IF(I35="Verified",ROUND(G35*0.35+IF(M35="Yes",20,0)+IF(N35="Yes",15,0)+IF(O35="Yes",15,0)+IF(P35="No",15,0),0),IF(I35="Candidate",MIN(60,G35),IF(I35="Rejected",0,MIN(40,G35))))</x:f>
        <x:v>40</x:v>
      </x:c>
      <x:c r="R35" s="14" t="str">
        <x:f>IF(Q35&gt;=80,"Can Use",IF(Q35&gt;=65,"Can Use With Confirmation",IF(Q35&gt;=50,"Watch Only",IF(Q35&gt;=30,"Research Only","Do Not Use"))))</x:f>
        <x:v>Research Only</x:v>
      </x:c>
      <x:c r="S35" s="14" t="str">
        <x:f>IF(A35="CRDO","P0",IF(A35="LITE","P0",IF(A35="NVDA","P1","P2")))</x:f>
        <x:v>P2</x:v>
      </x:c>
      <x:c r="T35" s="14"/>
      <x:c r="U35" s="14"/>
      <x:c r="V35" s="14"/>
      <x:c r="W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 t="n">
        <x:f>IF(I36="Verified",ROUND(G36*0.35+IF(M36="Yes",20,0)+IF(N36="Yes",15,0)+IF(O36="Yes",15,0)+IF(P36="No",15,0),0),IF(I36="Candidate",MIN(60,G36),IF(I36="Rejected",0,MIN(40,G36))))</x:f>
        <x:v>40</x:v>
      </x:c>
      <x:c r="R36" s="14" t="str">
        <x:f>IF(Q36&gt;=80,"Can Use",IF(Q36&gt;=65,"Can Use With Confirmation",IF(Q36&gt;=50,"Watch Only",IF(Q36&gt;=30,"Research Only","Do Not Use"))))</x:f>
        <x:v>Research Only</x:v>
      </x:c>
      <x:c r="S36" s="14" t="str">
        <x:f>IF(A36="CRDO","P0",IF(A36="LITE","P0",IF(A36="NVDA","P1","P2")))</x:f>
        <x:v>P2</x:v>
      </x:c>
      <x:c r="T36" s="14"/>
      <x:c r="U36" s="14"/>
      <x:c r="V36" s="14"/>
      <x:c r="W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 t="n">
        <x:f>IF(I37="Verified",ROUND(G37*0.35+IF(M37="Yes",20,0)+IF(N37="Yes",15,0)+IF(O37="Yes",15,0)+IF(P37="No",15,0),0),IF(I37="Candidate",MIN(60,G37),IF(I37="Rejected",0,MIN(40,G37))))</x:f>
        <x:v>40</x:v>
      </x:c>
      <x:c r="R37" s="14" t="str">
        <x:f>IF(Q37&gt;=80,"Can Use",IF(Q37&gt;=65,"Can Use With Confirmation",IF(Q37&gt;=50,"Watch Only",IF(Q37&gt;=30,"Research Only","Do Not Use"))))</x:f>
        <x:v>Research Only</x:v>
      </x:c>
      <x:c r="S37" s="14" t="str">
        <x:f>IF(A37="CRDO","P0",IF(A37="LITE","P0",IF(A37="NVDA","P1","P2")))</x:f>
        <x:v>P2</x:v>
      </x:c>
      <x:c r="T37" s="14"/>
      <x:c r="U37" s="14"/>
      <x:c r="V37" s="14"/>
      <x:c r="W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 t="n">
        <x:f>IF(I38="Verified",ROUND(G38*0.35+IF(M38="Yes",20,0)+IF(N38="Yes",15,0)+IF(O38="Yes",15,0)+IF(P38="No",15,0),0),IF(I38="Candidate",MIN(60,G38),IF(I38="Rejected",0,MIN(40,G38))))</x:f>
        <x:v>40</x:v>
      </x:c>
      <x:c r="R38" s="14" t="str">
        <x:f>IF(Q38&gt;=80,"Can Use",IF(Q38&gt;=65,"Can Use With Confirmation",IF(Q38&gt;=50,"Watch Only",IF(Q38&gt;=30,"Research Only","Do Not Use"))))</x:f>
        <x:v>Research Only</x:v>
      </x:c>
      <x:c r="S38" s="14" t="str">
        <x:f>IF(A38="CRDO","P0",IF(A38="LITE","P0",IF(A38="NVDA","P1","P2")))</x:f>
        <x:v>P2</x:v>
      </x:c>
      <x:c r="T38" s="14"/>
      <x:c r="U38" s="14"/>
      <x:c r="V38" s="14"/>
      <x:c r="W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 t="n">
        <x:f>IF(I39="Verified",ROUND(G39*0.35+IF(M39="Yes",20,0)+IF(N39="Yes",15,0)+IF(O39="Yes",15,0)+IF(P39="No",15,0),0),IF(I39="Candidate",MIN(60,G39),IF(I39="Rejected",0,MIN(40,G39))))</x:f>
        <x:v>40</x:v>
      </x:c>
      <x:c r="R39" s="14" t="str">
        <x:f>IF(Q39&gt;=80,"Can Use",IF(Q39&gt;=65,"Can Use With Confirmation",IF(Q39&gt;=50,"Watch Only",IF(Q39&gt;=30,"Research Only","Do Not Use"))))</x:f>
        <x:v>Research Only</x:v>
      </x:c>
      <x:c r="S39" s="14" t="str">
        <x:f>IF(A39="CRDO","P0",IF(A39="LITE","P0",IF(A39="NVDA","P1","P2")))</x:f>
        <x:v>P2</x:v>
      </x:c>
      <x:c r="T39" s="14"/>
      <x:c r="U39" s="14"/>
      <x:c r="V39" s="14"/>
      <x:c r="W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 t="n">
        <x:f>IF(I40="Verified",ROUND(G40*0.35+IF(M40="Yes",20,0)+IF(N40="Yes",15,0)+IF(O40="Yes",15,0)+IF(P40="No",15,0),0),IF(I40="Candidate",MIN(60,G40),IF(I40="Rejected",0,MIN(40,G40))))</x:f>
        <x:v>40</x:v>
      </x:c>
      <x:c r="R40" s="14" t="str">
        <x:f>IF(Q40&gt;=80,"Can Use",IF(Q40&gt;=65,"Can Use With Confirmation",IF(Q40&gt;=50,"Watch Only",IF(Q40&gt;=30,"Research Only","Do Not Use"))))</x:f>
        <x:v>Research Only</x:v>
      </x:c>
      <x:c r="S40" s="14" t="str">
        <x:f>IF(A40="CRDO","P0",IF(A40="LITE","P0",IF(A40="NVDA","P1","P2")))</x:f>
        <x:v>P2</x:v>
      </x:c>
      <x:c r="T40" s="14"/>
      <x:c r="U40" s="14"/>
      <x:c r="V40" s="14"/>
      <x:c r="W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 t="n">
        <x:f>IF(I41="Verified",ROUND(G41*0.35+IF(M41="Yes",20,0)+IF(N41="Yes",15,0)+IF(O41="Yes",15,0)+IF(P41="No",15,0),0),IF(I41="Candidate",MIN(60,G41),IF(I41="Rejected",0,MIN(40,G41))))</x:f>
        <x:v>40</x:v>
      </x:c>
      <x:c r="R41" s="14" t="str">
        <x:f>IF(Q41&gt;=80,"Can Use",IF(Q41&gt;=65,"Can Use With Confirmation",IF(Q41&gt;=50,"Watch Only",IF(Q41&gt;=30,"Research Only","Do Not Use"))))</x:f>
        <x:v>Research Only</x:v>
      </x:c>
      <x:c r="S41" s="14" t="str">
        <x:f>IF(A41="CRDO","P0",IF(A41="LITE","P0",IF(A41="NVDA","P1","P2")))</x:f>
        <x:v>P2</x:v>
      </x:c>
      <x:c r="T41" s="14"/>
      <x:c r="U41" s="14"/>
      <x:c r="V41" s="14"/>
      <x:c r="W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 t="n">
        <x:f>IF(I42="Verified",ROUND(G42*0.35+IF(M42="Yes",20,0)+IF(N42="Yes",15,0)+IF(O42="Yes",15,0)+IF(P42="No",15,0),0),IF(I42="Candidate",MIN(60,G42),IF(I42="Rejected",0,MIN(40,G42))))</x:f>
        <x:v>40</x:v>
      </x:c>
      <x:c r="R42" s="14" t="str">
        <x:f>IF(Q42&gt;=80,"Can Use",IF(Q42&gt;=65,"Can Use With Confirmation",IF(Q42&gt;=50,"Watch Only",IF(Q42&gt;=30,"Research Only","Do Not Use"))))</x:f>
        <x:v>Research Only</x:v>
      </x:c>
      <x:c r="S42" s="14" t="str">
        <x:f>IF(A42="CRDO","P0",IF(A42="LITE","P0",IF(A42="NVDA","P1","P2")))</x:f>
        <x:v>P2</x:v>
      </x:c>
      <x:c r="T42" s="14"/>
      <x:c r="U42" s="14"/>
      <x:c r="V42" s="14"/>
      <x:c r="W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 t="n">
        <x:f>IF(I43="Verified",ROUND(G43*0.35+IF(M43="Yes",20,0)+IF(N43="Yes",15,0)+IF(O43="Yes",15,0)+IF(P43="No",15,0),0),IF(I43="Candidate",MIN(60,G43),IF(I43="Rejected",0,MIN(40,G43))))</x:f>
        <x:v>40</x:v>
      </x:c>
      <x:c r="R43" s="14" t="str">
        <x:f>IF(Q43&gt;=80,"Can Use",IF(Q43&gt;=65,"Can Use With Confirmation",IF(Q43&gt;=50,"Watch Only",IF(Q43&gt;=30,"Research Only","Do Not Use"))))</x:f>
        <x:v>Research Only</x:v>
      </x:c>
      <x:c r="S43" s="14" t="str">
        <x:f>IF(A43="CRDO","P0",IF(A43="LITE","P0",IF(A43="NVDA","P1","P2")))</x:f>
        <x:v>P2</x:v>
      </x:c>
      <x:c r="T43" s="14"/>
      <x:c r="U43" s="14"/>
      <x:c r="V43" s="14"/>
      <x:c r="W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 t="n">
        <x:f>IF(I44="Verified",ROUND(G44*0.35+IF(M44="Yes",20,0)+IF(N44="Yes",15,0)+IF(O44="Yes",15,0)+IF(P44="No",15,0),0),IF(I44="Candidate",MIN(60,G44),IF(I44="Rejected",0,MIN(40,G44))))</x:f>
        <x:v>40</x:v>
      </x:c>
      <x:c r="R44" s="14" t="str">
        <x:f>IF(Q44&gt;=80,"Can Use",IF(Q44&gt;=65,"Can Use With Confirmation",IF(Q44&gt;=50,"Watch Only",IF(Q44&gt;=30,"Research Only","Do Not Use"))))</x:f>
        <x:v>Research Only</x:v>
      </x:c>
      <x:c r="S44" s="14" t="str">
        <x:f>IF(A44="CRDO","P0",IF(A44="LITE","P0",IF(A44="NVDA","P1","P2")))</x:f>
        <x:v>P2</x:v>
      </x:c>
      <x:c r="T44" s="14"/>
      <x:c r="U44" s="14"/>
      <x:c r="V44" s="14"/>
      <x:c r="W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 t="n">
        <x:f>IF(I45="Verified",ROUND(G45*0.35+IF(M45="Yes",20,0)+IF(N45="Yes",15,0)+IF(O45="Yes",15,0)+IF(P45="No",15,0),0),IF(I45="Candidate",MIN(60,G45),IF(I45="Rejected",0,MIN(40,G45))))</x:f>
        <x:v>40</x:v>
      </x:c>
      <x:c r="R45" s="14" t="str">
        <x:f>IF(Q45&gt;=80,"Can Use",IF(Q45&gt;=65,"Can Use With Confirmation",IF(Q45&gt;=50,"Watch Only",IF(Q45&gt;=30,"Research Only","Do Not Use"))))</x:f>
        <x:v>Research Only</x:v>
      </x:c>
      <x:c r="S45" s="14" t="str">
        <x:f>IF(A45="CRDO","P0",IF(A45="LITE","P0",IF(A45="NVDA","P1","P2")))</x:f>
        <x:v>P2</x:v>
      </x:c>
      <x:c r="T45" s="14"/>
      <x:c r="U45" s="14"/>
      <x:c r="V45" s="14"/>
      <x:c r="W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 t="n">
        <x:f>IF(I46="Verified",ROUND(G46*0.35+IF(M46="Yes",20,0)+IF(N46="Yes",15,0)+IF(O46="Yes",15,0)+IF(P46="No",15,0),0),IF(I46="Candidate",MIN(60,G46),IF(I46="Rejected",0,MIN(40,G46))))</x:f>
        <x:v>40</x:v>
      </x:c>
      <x:c r="R46" s="14" t="str">
        <x:f>IF(Q46&gt;=80,"Can Use",IF(Q46&gt;=65,"Can Use With Confirmation",IF(Q46&gt;=50,"Watch Only",IF(Q46&gt;=30,"Research Only","Do Not Use"))))</x:f>
        <x:v>Research Only</x:v>
      </x:c>
      <x:c r="S46" s="14" t="str">
        <x:f>IF(A46="CRDO","P0",IF(A46="LITE","P0",IF(A46="NVDA","P1","P2")))</x:f>
        <x:v>P2</x:v>
      </x:c>
      <x:c r="T46" s="14"/>
      <x:c r="U46" s="14"/>
      <x:c r="V46" s="14"/>
      <x:c r="W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 t="n">
        <x:f>IF(I47="Verified",ROUND(G47*0.35+IF(M47="Yes",20,0)+IF(N47="Yes",15,0)+IF(O47="Yes",15,0)+IF(P47="No",15,0),0),IF(I47="Candidate",MIN(60,G47),IF(I47="Rejected",0,MIN(40,G47))))</x:f>
        <x:v>40</x:v>
      </x:c>
      <x:c r="R47" s="14" t="str">
        <x:f>IF(Q47&gt;=80,"Can Use",IF(Q47&gt;=65,"Can Use With Confirmation",IF(Q47&gt;=50,"Watch Only",IF(Q47&gt;=30,"Research Only","Do Not Use"))))</x:f>
        <x:v>Research Only</x:v>
      </x:c>
      <x:c r="S47" s="14" t="str">
        <x:f>IF(A47="CRDO","P0",IF(A47="LITE","P0",IF(A47="NVDA","P1","P2")))</x:f>
        <x:v>P2</x:v>
      </x:c>
      <x:c r="T47" s="14"/>
      <x:c r="U47" s="14"/>
      <x:c r="V47" s="14"/>
      <x:c r="W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 t="n">
        <x:f>IF(I48="Verified",ROUND(G48*0.35+IF(M48="Yes",20,0)+IF(N48="Yes",15,0)+IF(O48="Yes",15,0)+IF(P48="No",15,0),0),IF(I48="Candidate",MIN(60,G48),IF(I48="Rejected",0,MIN(40,G48))))</x:f>
        <x:v>40</x:v>
      </x:c>
      <x:c r="R48" s="14" t="str">
        <x:f>IF(Q48&gt;=80,"Can Use",IF(Q48&gt;=65,"Can Use With Confirmation",IF(Q48&gt;=50,"Watch Only",IF(Q48&gt;=30,"Research Only","Do Not Use"))))</x:f>
        <x:v>Research Only</x:v>
      </x:c>
      <x:c r="S48" s="14" t="str">
        <x:f>IF(A48="CRDO","P0",IF(A48="LITE","P0",IF(A48="NVDA","P1","P2")))</x:f>
        <x:v>P2</x:v>
      </x:c>
      <x:c r="T48" s="14"/>
      <x:c r="U48" s="14"/>
      <x:c r="V48" s="14"/>
      <x:c r="W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 t="n">
        <x:f>IF(I49="Verified",ROUND(G49*0.35+IF(M49="Yes",20,0)+IF(N49="Yes",15,0)+IF(O49="Yes",15,0)+IF(P49="No",15,0),0),IF(I49="Candidate",MIN(60,G49),IF(I49="Rejected",0,MIN(40,G49))))</x:f>
        <x:v>40</x:v>
      </x:c>
      <x:c r="R49" s="14" t="str">
        <x:f>IF(Q49&gt;=80,"Can Use",IF(Q49&gt;=65,"Can Use With Confirmation",IF(Q49&gt;=50,"Watch Only",IF(Q49&gt;=30,"Research Only","Do Not Use"))))</x:f>
        <x:v>Research Only</x:v>
      </x:c>
      <x:c r="S49" s="14" t="str">
        <x:f>IF(A49="CRDO","P0",IF(A49="LITE","P0",IF(A49="NVDA","P1","P2")))</x:f>
        <x:v>P2</x:v>
      </x:c>
      <x:c r="T49" s="14"/>
      <x:c r="U49" s="14"/>
      <x:c r="V49" s="14"/>
      <x:c r="W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 t="n">
        <x:f>IF(I50="Verified",ROUND(G50*0.35+IF(M50="Yes",20,0)+IF(N50="Yes",15,0)+IF(O50="Yes",15,0)+IF(P50="No",15,0),0),IF(I50="Candidate",MIN(60,G50),IF(I50="Rejected",0,MIN(40,G50))))</x:f>
        <x:v>40</x:v>
      </x:c>
      <x:c r="R50" s="14" t="str">
        <x:f>IF(Q50&gt;=80,"Can Use",IF(Q50&gt;=65,"Can Use With Confirmation",IF(Q50&gt;=50,"Watch Only",IF(Q50&gt;=30,"Research Only","Do Not Use"))))</x:f>
        <x:v>Research Only</x:v>
      </x:c>
      <x:c r="S50" s="14" t="str">
        <x:f>IF(A50="CRDO","P0",IF(A50="LITE","P0",IF(A50="NVDA","P1","P2")))</x:f>
        <x:v>P2</x:v>
      </x:c>
      <x:c r="T50" s="14"/>
      <x:c r="U50" s="14"/>
      <x:c r="V50" s="14"/>
      <x:c r="W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 t="n">
        <x:f>IF(I51="Verified",ROUND(G51*0.35+IF(M51="Yes",20,0)+IF(N51="Yes",15,0)+IF(O51="Yes",15,0)+IF(P51="No",15,0),0),IF(I51="Candidate",MIN(60,G51),IF(I51="Rejected",0,MIN(40,G51))))</x:f>
        <x:v>40</x:v>
      </x:c>
      <x:c r="R51" s="14" t="str">
        <x:f>IF(Q51&gt;=80,"Can Use",IF(Q51&gt;=65,"Can Use With Confirmation",IF(Q51&gt;=50,"Watch Only",IF(Q51&gt;=30,"Research Only","Do Not Use"))))</x:f>
        <x:v>Research Only</x:v>
      </x:c>
      <x:c r="S51" s="14" t="str">
        <x:f>IF(A51="CRDO","P0",IF(A51="LITE","P0",IF(A51="NVDA","P1","P2")))</x:f>
        <x:v>P2</x:v>
      </x:c>
      <x:c r="T51" s="14"/>
      <x:c r="U51" s="14"/>
      <x:c r="V51" s="14"/>
      <x:c r="W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 t="n">
        <x:f>IF(I52="Verified",ROUND(G52*0.35+IF(M52="Yes",20,0)+IF(N52="Yes",15,0)+IF(O52="Yes",15,0)+IF(P52="No",15,0),0),IF(I52="Candidate",MIN(60,G52),IF(I52="Rejected",0,MIN(40,G52))))</x:f>
        <x:v>40</x:v>
      </x:c>
      <x:c r="R52" s="14" t="str">
        <x:f>IF(Q52&gt;=80,"Can Use",IF(Q52&gt;=65,"Can Use With Confirmation",IF(Q52&gt;=50,"Watch Only",IF(Q52&gt;=30,"Research Only","Do Not Use"))))</x:f>
        <x:v>Research Only</x:v>
      </x:c>
      <x:c r="S52" s="14" t="str">
        <x:f>IF(A52="CRDO","P0",IF(A52="LITE","P0",IF(A52="NVDA","P1","P2")))</x:f>
        <x:v>P2</x:v>
      </x:c>
      <x:c r="T52" s="14"/>
      <x:c r="U52" s="14"/>
      <x:c r="V52" s="14"/>
      <x:c r="W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 t="n">
        <x:f>IF(I53="Verified",ROUND(G53*0.35+IF(M53="Yes",20,0)+IF(N53="Yes",15,0)+IF(O53="Yes",15,0)+IF(P53="No",15,0),0),IF(I53="Candidate",MIN(60,G53),IF(I53="Rejected",0,MIN(40,G53))))</x:f>
        <x:v>40</x:v>
      </x:c>
      <x:c r="R53" s="14" t="str">
        <x:f>IF(Q53&gt;=80,"Can Use",IF(Q53&gt;=65,"Can Use With Confirmation",IF(Q53&gt;=50,"Watch Only",IF(Q53&gt;=30,"Research Only","Do Not Use"))))</x:f>
        <x:v>Research Only</x:v>
      </x:c>
      <x:c r="S53" s="14" t="str">
        <x:f>IF(A53="CRDO","P0",IF(A53="LITE","P0",IF(A53="NVDA","P1","P2")))</x:f>
        <x:v>P2</x:v>
      </x:c>
      <x:c r="T53" s="14"/>
      <x:c r="U53" s="14"/>
      <x:c r="V53" s="14"/>
      <x:c r="W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 t="n">
        <x:f>IF(I54="Verified",ROUND(G54*0.35+IF(M54="Yes",20,0)+IF(N54="Yes",15,0)+IF(O54="Yes",15,0)+IF(P54="No",15,0),0),IF(I54="Candidate",MIN(60,G54),IF(I54="Rejected",0,MIN(40,G54))))</x:f>
        <x:v>40</x:v>
      </x:c>
      <x:c r="R54" s="14" t="str">
        <x:f>IF(Q54&gt;=80,"Can Use",IF(Q54&gt;=65,"Can Use With Confirmation",IF(Q54&gt;=50,"Watch Only",IF(Q54&gt;=30,"Research Only","Do Not Use"))))</x:f>
        <x:v>Research Only</x:v>
      </x:c>
      <x:c r="S54" s="14" t="str">
        <x:f>IF(A54="CRDO","P0",IF(A54="LITE","P0",IF(A54="NVDA","P1","P2")))</x:f>
        <x:v>P2</x:v>
      </x:c>
      <x:c r="T54" s="14"/>
      <x:c r="U54" s="14"/>
      <x:c r="V54" s="14"/>
      <x:c r="W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 t="n">
        <x:f>IF(I55="Verified",ROUND(G55*0.35+IF(M55="Yes",20,0)+IF(N55="Yes",15,0)+IF(O55="Yes",15,0)+IF(P55="No",15,0),0),IF(I55="Candidate",MIN(60,G55),IF(I55="Rejected",0,MIN(40,G55))))</x:f>
        <x:v>40</x:v>
      </x:c>
      <x:c r="R55" s="14" t="str">
        <x:f>IF(Q55&gt;=80,"Can Use",IF(Q55&gt;=65,"Can Use With Confirmation",IF(Q55&gt;=50,"Watch Only",IF(Q55&gt;=30,"Research Only","Do Not Use"))))</x:f>
        <x:v>Research Only</x:v>
      </x:c>
      <x:c r="S55" s="14" t="str">
        <x:f>IF(A55="CRDO","P0",IF(A55="LITE","P0",IF(A55="NVDA","P1","P2")))</x:f>
        <x:v>P2</x:v>
      </x:c>
      <x:c r="T55" s="14"/>
      <x:c r="U55" s="14"/>
      <x:c r="V55" s="14"/>
      <x:c r="W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 t="n">
        <x:f>IF(I56="Verified",ROUND(G56*0.35+IF(M56="Yes",20,0)+IF(N56="Yes",15,0)+IF(O56="Yes",15,0)+IF(P56="No",15,0),0),IF(I56="Candidate",MIN(60,G56),IF(I56="Rejected",0,MIN(40,G56))))</x:f>
        <x:v>40</x:v>
      </x:c>
      <x:c r="R56" s="14" t="str">
        <x:f>IF(Q56&gt;=80,"Can Use",IF(Q56&gt;=65,"Can Use With Confirmation",IF(Q56&gt;=50,"Watch Only",IF(Q56&gt;=30,"Research Only","Do Not Use"))))</x:f>
        <x:v>Research Only</x:v>
      </x:c>
      <x:c r="S56" s="14" t="str">
        <x:f>IF(A56="CRDO","P0",IF(A56="LITE","P0",IF(A56="NVDA","P1","P2")))</x:f>
        <x:v>P2</x:v>
      </x:c>
      <x:c r="T56" s="14"/>
      <x:c r="U56" s="14"/>
      <x:c r="V56" s="14"/>
      <x:c r="W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 t="n">
        <x:f>IF(I57="Verified",ROUND(G57*0.35+IF(M57="Yes",20,0)+IF(N57="Yes",15,0)+IF(O57="Yes",15,0)+IF(P57="No",15,0),0),IF(I57="Candidate",MIN(60,G57),IF(I57="Rejected",0,MIN(40,G57))))</x:f>
        <x:v>40</x:v>
      </x:c>
      <x:c r="R57" s="14" t="str">
        <x:f>IF(Q57&gt;=80,"Can Use",IF(Q57&gt;=65,"Can Use With Confirmation",IF(Q57&gt;=50,"Watch Only",IF(Q57&gt;=30,"Research Only","Do Not Use"))))</x:f>
        <x:v>Research Only</x:v>
      </x:c>
      <x:c r="S57" s="14" t="str">
        <x:f>IF(A57="CRDO","P0",IF(A57="LITE","P0",IF(A57="NVDA","P1","P2")))</x:f>
        <x:v>P2</x:v>
      </x:c>
      <x:c r="T57" s="14"/>
      <x:c r="U57" s="14"/>
      <x:c r="V57" s="14"/>
      <x:c r="W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 t="n">
        <x:f>IF(I58="Verified",ROUND(G58*0.35+IF(M58="Yes",20,0)+IF(N58="Yes",15,0)+IF(O58="Yes",15,0)+IF(P58="No",15,0),0),IF(I58="Candidate",MIN(60,G58),IF(I58="Rejected",0,MIN(40,G58))))</x:f>
        <x:v>40</x:v>
      </x:c>
      <x:c r="R58" s="14" t="str">
        <x:f>IF(Q58&gt;=80,"Can Use",IF(Q58&gt;=65,"Can Use With Confirmation",IF(Q58&gt;=50,"Watch Only",IF(Q58&gt;=30,"Research Only","Do Not Use"))))</x:f>
        <x:v>Research Only</x:v>
      </x:c>
      <x:c r="S58" s="14" t="str">
        <x:f>IF(A58="CRDO","P0",IF(A58="LITE","P0",IF(A58="NVDA","P1","P2")))</x:f>
        <x:v>P2</x:v>
      </x:c>
      <x:c r="T58" s="14"/>
      <x:c r="U58" s="14"/>
      <x:c r="V58" s="14"/>
      <x:c r="W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 t="n">
        <x:f>IF(I59="Verified",ROUND(G59*0.35+IF(M59="Yes",20,0)+IF(N59="Yes",15,0)+IF(O59="Yes",15,0)+IF(P59="No",15,0),0),IF(I59="Candidate",MIN(60,G59),IF(I59="Rejected",0,MIN(40,G59))))</x:f>
        <x:v>40</x:v>
      </x:c>
      <x:c r="R59" s="14" t="str">
        <x:f>IF(Q59&gt;=80,"Can Use",IF(Q59&gt;=65,"Can Use With Confirmation",IF(Q59&gt;=50,"Watch Only",IF(Q59&gt;=30,"Research Only","Do Not Use"))))</x:f>
        <x:v>Research Only</x:v>
      </x:c>
      <x:c r="S59" s="14" t="str">
        <x:f>IF(A59="CRDO","P0",IF(A59="LITE","P0",IF(A59="NVDA","P1","P2")))</x:f>
        <x:v>P2</x:v>
      </x:c>
      <x:c r="T59" s="14"/>
      <x:c r="U59" s="14"/>
      <x:c r="V59" s="14"/>
      <x:c r="W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 t="n">
        <x:f>IF(I60="Verified",ROUND(G60*0.35+IF(M60="Yes",20,0)+IF(N60="Yes",15,0)+IF(O60="Yes",15,0)+IF(P60="No",15,0),0),IF(I60="Candidate",MIN(60,G60),IF(I60="Rejected",0,MIN(40,G60))))</x:f>
        <x:v>40</x:v>
      </x:c>
      <x:c r="R60" s="14" t="str">
        <x:f>IF(Q60&gt;=80,"Can Use",IF(Q60&gt;=65,"Can Use With Confirmation",IF(Q60&gt;=50,"Watch Only",IF(Q60&gt;=30,"Research Only","Do Not Use"))))</x:f>
        <x:v>Research Only</x:v>
      </x:c>
      <x:c r="S60" s="14" t="str">
        <x:f>IF(A60="CRDO","P0",IF(A60="LITE","P0",IF(A60="NVDA","P1","P2")))</x:f>
        <x:v>P2</x:v>
      </x:c>
      <x:c r="T60" s="14"/>
      <x:c r="U60" s="14"/>
      <x:c r="V60" s="14"/>
      <x:c r="W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 t="n">
        <x:f>IF(I61="Verified",ROUND(G61*0.35+IF(M61="Yes",20,0)+IF(N61="Yes",15,0)+IF(O61="Yes",15,0)+IF(P61="No",15,0),0),IF(I61="Candidate",MIN(60,G61),IF(I61="Rejected",0,MIN(40,G61))))</x:f>
        <x:v>40</x:v>
      </x:c>
      <x:c r="R61" s="14" t="str">
        <x:f>IF(Q61&gt;=80,"Can Use",IF(Q61&gt;=65,"Can Use With Confirmation",IF(Q61&gt;=50,"Watch Only",IF(Q61&gt;=30,"Research Only","Do Not Use"))))</x:f>
        <x:v>Research Only</x:v>
      </x:c>
      <x:c r="S61" s="14" t="str">
        <x:f>IF(A61="CRDO","P0",IF(A61="LITE","P0",IF(A61="NVDA","P1","P2")))</x:f>
        <x:v>P2</x:v>
      </x:c>
      <x:c r="T61" s="14"/>
      <x:c r="U61" s="14"/>
      <x:c r="V61" s="14"/>
      <x:c r="W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 t="n">
        <x:f>IF(I62="Verified",ROUND(G62*0.35+IF(M62="Yes",20,0)+IF(N62="Yes",15,0)+IF(O62="Yes",15,0)+IF(P62="No",15,0),0),IF(I62="Candidate",MIN(60,G62),IF(I62="Rejected",0,MIN(40,G62))))</x:f>
        <x:v>40</x:v>
      </x:c>
      <x:c r="R62" s="14" t="str">
        <x:f>IF(Q62&gt;=80,"Can Use",IF(Q62&gt;=65,"Can Use With Confirmation",IF(Q62&gt;=50,"Watch Only",IF(Q62&gt;=30,"Research Only","Do Not Use"))))</x:f>
        <x:v>Research Only</x:v>
      </x:c>
      <x:c r="S62" s="14" t="str">
        <x:f>IF(A62="CRDO","P0",IF(A62="LITE","P0",IF(A62="NVDA","P1","P2")))</x:f>
        <x:v>P2</x:v>
      </x:c>
      <x:c r="T62" s="14"/>
      <x:c r="U62" s="14"/>
      <x:c r="V62" s="14"/>
      <x:c r="W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 t="n">
        <x:f>IF(I63="Verified",ROUND(G63*0.35+IF(M63="Yes",20,0)+IF(N63="Yes",15,0)+IF(O63="Yes",15,0)+IF(P63="No",15,0),0),IF(I63="Candidate",MIN(60,G63),IF(I63="Rejected",0,MIN(40,G63))))</x:f>
        <x:v>40</x:v>
      </x:c>
      <x:c r="R63" s="14" t="str">
        <x:f>IF(Q63&gt;=80,"Can Use",IF(Q63&gt;=65,"Can Use With Confirmation",IF(Q63&gt;=50,"Watch Only",IF(Q63&gt;=30,"Research Only","Do Not Use"))))</x:f>
        <x:v>Research Only</x:v>
      </x:c>
      <x:c r="S63" s="14" t="str">
        <x:f>IF(A63="CRDO","P0",IF(A63="LITE","P0",IF(A63="NVDA","P1","P2")))</x:f>
        <x:v>P2</x:v>
      </x:c>
      <x:c r="T63" s="14"/>
      <x:c r="U63" s="14"/>
      <x:c r="V63" s="14"/>
      <x:c r="W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 t="n">
        <x:f>IF(I64="Verified",ROUND(G64*0.35+IF(M64="Yes",20,0)+IF(N64="Yes",15,0)+IF(O64="Yes",15,0)+IF(P64="No",15,0),0),IF(I64="Candidate",MIN(60,G64),IF(I64="Rejected",0,MIN(40,G64))))</x:f>
        <x:v>40</x:v>
      </x:c>
      <x:c r="R64" s="14" t="str">
        <x:f>IF(Q64&gt;=80,"Can Use",IF(Q64&gt;=65,"Can Use With Confirmation",IF(Q64&gt;=50,"Watch Only",IF(Q64&gt;=30,"Research Only","Do Not Use"))))</x:f>
        <x:v>Research Only</x:v>
      </x:c>
      <x:c r="S64" s="14" t="str">
        <x:f>IF(A64="CRDO","P0",IF(A64="LITE","P0",IF(A64="NVDA","P1","P2")))</x:f>
        <x:v>P2</x:v>
      </x:c>
      <x:c r="T64" s="14"/>
      <x:c r="U64" s="14"/>
      <x:c r="V64" s="14"/>
      <x:c r="W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 t="n">
        <x:f>IF(I65="Verified",ROUND(G65*0.35+IF(M65="Yes",20,0)+IF(N65="Yes",15,0)+IF(O65="Yes",15,0)+IF(P65="No",15,0),0),IF(I65="Candidate",MIN(60,G65),IF(I65="Rejected",0,MIN(40,G65))))</x:f>
        <x:v>40</x:v>
      </x:c>
      <x:c r="R65" s="14" t="str">
        <x:f>IF(Q65&gt;=80,"Can Use",IF(Q65&gt;=65,"Can Use With Confirmation",IF(Q65&gt;=50,"Watch Only",IF(Q65&gt;=30,"Research Only","Do Not Use"))))</x:f>
        <x:v>Research Only</x:v>
      </x:c>
      <x:c r="S65" s="14" t="str">
        <x:f>IF(A65="CRDO","P0",IF(A65="LITE","P0",IF(A65="NVDA","P1","P2")))</x:f>
        <x:v>P2</x:v>
      </x:c>
      <x:c r="T65" s="14"/>
      <x:c r="U65" s="14"/>
      <x:c r="V65" s="14"/>
      <x:c r="W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 t="n">
        <x:f>IF(I66="Verified",ROUND(G66*0.35+IF(M66="Yes",20,0)+IF(N66="Yes",15,0)+IF(O66="Yes",15,0)+IF(P66="No",15,0),0),IF(I66="Candidate",MIN(60,G66),IF(I66="Rejected",0,MIN(40,G66))))</x:f>
        <x:v>40</x:v>
      </x:c>
      <x:c r="R66" s="14" t="str">
        <x:f>IF(Q66&gt;=80,"Can Use",IF(Q66&gt;=65,"Can Use With Confirmation",IF(Q66&gt;=50,"Watch Only",IF(Q66&gt;=30,"Research Only","Do Not Use"))))</x:f>
        <x:v>Research Only</x:v>
      </x:c>
      <x:c r="S66" s="14" t="str">
        <x:f>IF(A66="CRDO","P0",IF(A66="LITE","P0",IF(A66="NVDA","P1","P2")))</x:f>
        <x:v>P2</x:v>
      </x:c>
      <x:c r="T66" s="14"/>
      <x:c r="U66" s="14"/>
      <x:c r="V66" s="14"/>
      <x:c r="W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 t="n">
        <x:f>IF(I67="Verified",ROUND(G67*0.35+IF(M67="Yes",20,0)+IF(N67="Yes",15,0)+IF(O67="Yes",15,0)+IF(P67="No",15,0),0),IF(I67="Candidate",MIN(60,G67),IF(I67="Rejected",0,MIN(40,G67))))</x:f>
        <x:v>40</x:v>
      </x:c>
      <x:c r="R67" s="14" t="str">
        <x:f>IF(Q67&gt;=80,"Can Use",IF(Q67&gt;=65,"Can Use With Confirmation",IF(Q67&gt;=50,"Watch Only",IF(Q67&gt;=30,"Research Only","Do Not Use"))))</x:f>
        <x:v>Research Only</x:v>
      </x:c>
      <x:c r="S67" s="14" t="str">
        <x:f>IF(A67="CRDO","P0",IF(A67="LITE","P0",IF(A67="NVDA","P1","P2")))</x:f>
        <x:v>P2</x:v>
      </x:c>
      <x:c r="T67" s="14"/>
      <x:c r="U67" s="14"/>
      <x:c r="V67" s="14"/>
      <x:c r="W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 t="n">
        <x:f>IF(I68="Verified",ROUND(G68*0.35+IF(M68="Yes",20,0)+IF(N68="Yes",15,0)+IF(O68="Yes",15,0)+IF(P68="No",15,0),0),IF(I68="Candidate",MIN(60,G68),IF(I68="Rejected",0,MIN(40,G68))))</x:f>
        <x:v>40</x:v>
      </x:c>
      <x:c r="R68" s="14" t="str">
        <x:f>IF(Q68&gt;=80,"Can Use",IF(Q68&gt;=65,"Can Use With Confirmation",IF(Q68&gt;=50,"Watch Only",IF(Q68&gt;=30,"Research Only","Do Not Use"))))</x:f>
        <x:v>Research Only</x:v>
      </x:c>
      <x:c r="S68" s="14" t="str">
        <x:f>IF(A68="CRDO","P0",IF(A68="LITE","P0",IF(A68="NVDA","P1","P2")))</x:f>
        <x:v>P2</x:v>
      </x:c>
      <x:c r="T68" s="14"/>
      <x:c r="U68" s="14"/>
      <x:c r="V68" s="14"/>
      <x:c r="W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 t="n">
        <x:f>IF(I69="Verified",ROUND(G69*0.35+IF(M69="Yes",20,0)+IF(N69="Yes",15,0)+IF(O69="Yes",15,0)+IF(P69="No",15,0),0),IF(I69="Candidate",MIN(60,G69),IF(I69="Rejected",0,MIN(40,G69))))</x:f>
        <x:v>40</x:v>
      </x:c>
      <x:c r="R69" s="14" t="str">
        <x:f>IF(Q69&gt;=80,"Can Use",IF(Q69&gt;=65,"Can Use With Confirmation",IF(Q69&gt;=50,"Watch Only",IF(Q69&gt;=30,"Research Only","Do Not Use"))))</x:f>
        <x:v>Research Only</x:v>
      </x:c>
      <x:c r="S69" s="14" t="str">
        <x:f>IF(A69="CRDO","P0",IF(A69="LITE","P0",IF(A69="NVDA","P1","P2")))</x:f>
        <x:v>P2</x:v>
      </x:c>
      <x:c r="T69" s="14"/>
      <x:c r="U69" s="14"/>
      <x:c r="V69" s="14"/>
      <x:c r="W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 t="n">
        <x:f>IF(I70="Verified",ROUND(G70*0.35+IF(M70="Yes",20,0)+IF(N70="Yes",15,0)+IF(O70="Yes",15,0)+IF(P70="No",15,0),0),IF(I70="Candidate",MIN(60,G70),IF(I70="Rejected",0,MIN(40,G70))))</x:f>
        <x:v>40</x:v>
      </x:c>
      <x:c r="R70" s="14" t="str">
        <x:f>IF(Q70&gt;=80,"Can Use",IF(Q70&gt;=65,"Can Use With Confirmation",IF(Q70&gt;=50,"Watch Only",IF(Q70&gt;=30,"Research Only","Do Not Use"))))</x:f>
        <x:v>Research Only</x:v>
      </x:c>
      <x:c r="S70" s="14" t="str">
        <x:f>IF(A70="CRDO","P0",IF(A70="LITE","P0",IF(A70="NVDA","P1","P2")))</x:f>
        <x:v>P2</x:v>
      </x:c>
      <x:c r="T70" s="14"/>
      <x:c r="U70" s="14"/>
      <x:c r="V70" s="14"/>
      <x:c r="W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 t="n">
        <x:f>IF(I71="Verified",ROUND(G71*0.35+IF(M71="Yes",20,0)+IF(N71="Yes",15,0)+IF(O71="Yes",15,0)+IF(P71="No",15,0),0),IF(I71="Candidate",MIN(60,G71),IF(I71="Rejected",0,MIN(40,G71))))</x:f>
        <x:v>40</x:v>
      </x:c>
      <x:c r="R71" s="14" t="str">
        <x:f>IF(Q71&gt;=80,"Can Use",IF(Q71&gt;=65,"Can Use With Confirmation",IF(Q71&gt;=50,"Watch Only",IF(Q71&gt;=30,"Research Only","Do Not Use"))))</x:f>
        <x:v>Research Only</x:v>
      </x:c>
      <x:c r="S71" s="14" t="str">
        <x:f>IF(A71="CRDO","P0",IF(A71="LITE","P0",IF(A71="NVDA","P1","P2")))</x:f>
        <x:v>P2</x:v>
      </x:c>
      <x:c r="T71" s="14"/>
      <x:c r="U71" s="14"/>
      <x:c r="V71" s="14"/>
      <x:c r="W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 t="n">
        <x:f>IF(I72="Verified",ROUND(G72*0.35+IF(M72="Yes",20,0)+IF(N72="Yes",15,0)+IF(O72="Yes",15,0)+IF(P72="No",15,0),0),IF(I72="Candidate",MIN(60,G72),IF(I72="Rejected",0,MIN(40,G72))))</x:f>
        <x:v>40</x:v>
      </x:c>
      <x:c r="R72" s="14" t="str">
        <x:f>IF(Q72&gt;=80,"Can Use",IF(Q72&gt;=65,"Can Use With Confirmation",IF(Q72&gt;=50,"Watch Only",IF(Q72&gt;=30,"Research Only","Do Not Use"))))</x:f>
        <x:v>Research Only</x:v>
      </x:c>
      <x:c r="S72" s="14" t="str">
        <x:f>IF(A72="CRDO","P0",IF(A72="LITE","P0",IF(A72="NVDA","P1","P2")))</x:f>
        <x:v>P2</x:v>
      </x:c>
      <x:c r="T72" s="14"/>
      <x:c r="U72" s="14"/>
      <x:c r="V72" s="14"/>
      <x:c r="W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 t="n">
        <x:f>IF(I73="Verified",ROUND(G73*0.35+IF(M73="Yes",20,0)+IF(N73="Yes",15,0)+IF(O73="Yes",15,0)+IF(P73="No",15,0),0),IF(I73="Candidate",MIN(60,G73),IF(I73="Rejected",0,MIN(40,G73))))</x:f>
        <x:v>40</x:v>
      </x:c>
      <x:c r="R73" s="14" t="str">
        <x:f>IF(Q73&gt;=80,"Can Use",IF(Q73&gt;=65,"Can Use With Confirmation",IF(Q73&gt;=50,"Watch Only",IF(Q73&gt;=30,"Research Only","Do Not Use"))))</x:f>
        <x:v>Research Only</x:v>
      </x:c>
      <x:c r="S73" s="14" t="str">
        <x:f>IF(A73="CRDO","P0",IF(A73="LITE","P0",IF(A73="NVDA","P1","P2")))</x:f>
        <x:v>P2</x:v>
      </x:c>
      <x:c r="T73" s="14"/>
      <x:c r="U73" s="14"/>
      <x:c r="V73" s="14"/>
      <x:c r="W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 t="n">
        <x:f>IF(I74="Verified",ROUND(G74*0.35+IF(M74="Yes",20,0)+IF(N74="Yes",15,0)+IF(O74="Yes",15,0)+IF(P74="No",15,0),0),IF(I74="Candidate",MIN(60,G74),IF(I74="Rejected",0,MIN(40,G74))))</x:f>
        <x:v>40</x:v>
      </x:c>
      <x:c r="R74" s="14" t="str">
        <x:f>IF(Q74&gt;=80,"Can Use",IF(Q74&gt;=65,"Can Use With Confirmation",IF(Q74&gt;=50,"Watch Only",IF(Q74&gt;=30,"Research Only","Do Not Use"))))</x:f>
        <x:v>Research Only</x:v>
      </x:c>
      <x:c r="S74" s="14" t="str">
        <x:f>IF(A74="CRDO","P0",IF(A74="LITE","P0",IF(A74="NVDA","P1","P2")))</x:f>
        <x:v>P2</x:v>
      </x:c>
      <x:c r="T74" s="14"/>
      <x:c r="U74" s="14"/>
      <x:c r="V74" s="14"/>
      <x:c r="W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 t="n">
        <x:f>IF(I75="Verified",ROUND(G75*0.35+IF(M75="Yes",20,0)+IF(N75="Yes",15,0)+IF(O75="Yes",15,0)+IF(P75="No",15,0),0),IF(I75="Candidate",MIN(60,G75),IF(I75="Rejected",0,MIN(40,G75))))</x:f>
        <x:v>40</x:v>
      </x:c>
      <x:c r="R75" s="14" t="str">
        <x:f>IF(Q75&gt;=80,"Can Use",IF(Q75&gt;=65,"Can Use With Confirmation",IF(Q75&gt;=50,"Watch Only",IF(Q75&gt;=30,"Research Only","Do Not Use"))))</x:f>
        <x:v>Research Only</x:v>
      </x:c>
      <x:c r="S75" s="14" t="str">
        <x:f>IF(A75="CRDO","P0",IF(A75="LITE","P0",IF(A75="NVDA","P1","P2")))</x:f>
        <x:v>P2</x:v>
      </x:c>
      <x:c r="T75" s="14"/>
      <x:c r="U75" s="14"/>
      <x:c r="V75" s="14"/>
      <x:c r="W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 t="n">
        <x:f>IF(I76="Verified",ROUND(G76*0.35+IF(M76="Yes",20,0)+IF(N76="Yes",15,0)+IF(O76="Yes",15,0)+IF(P76="No",15,0),0),IF(I76="Candidate",MIN(60,G76),IF(I76="Rejected",0,MIN(40,G76))))</x:f>
        <x:v>40</x:v>
      </x:c>
      <x:c r="R76" s="14" t="str">
        <x:f>IF(Q76&gt;=80,"Can Use",IF(Q76&gt;=65,"Can Use With Confirmation",IF(Q76&gt;=50,"Watch Only",IF(Q76&gt;=30,"Research Only","Do Not Use"))))</x:f>
        <x:v>Research Only</x:v>
      </x:c>
      <x:c r="S76" s="14" t="str">
        <x:f>IF(A76="CRDO","P0",IF(A76="LITE","P0",IF(A76="NVDA","P1","P2")))</x:f>
        <x:v>P2</x:v>
      </x:c>
      <x:c r="T76" s="14"/>
      <x:c r="U76" s="14"/>
      <x:c r="V76" s="14"/>
      <x:c r="W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 t="n">
        <x:f>IF(I77="Verified",ROUND(G77*0.35+IF(M77="Yes",20,0)+IF(N77="Yes",15,0)+IF(O77="Yes",15,0)+IF(P77="No",15,0),0),IF(I77="Candidate",MIN(60,G77),IF(I77="Rejected",0,MIN(40,G77))))</x:f>
        <x:v>40</x:v>
      </x:c>
      <x:c r="R77" s="14" t="str">
        <x:f>IF(Q77&gt;=80,"Can Use",IF(Q77&gt;=65,"Can Use With Confirmation",IF(Q77&gt;=50,"Watch Only",IF(Q77&gt;=30,"Research Only","Do Not Use"))))</x:f>
        <x:v>Research Only</x:v>
      </x:c>
      <x:c r="S77" s="14" t="str">
        <x:f>IF(A77="CRDO","P0",IF(A77="LITE","P0",IF(A77="NVDA","P1","P2")))</x:f>
        <x:v>P2</x:v>
      </x:c>
      <x:c r="T77" s="14"/>
      <x:c r="U77" s="14"/>
      <x:c r="V77" s="14"/>
      <x:c r="W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 t="n">
        <x:f>IF(I78="Verified",ROUND(G78*0.35+IF(M78="Yes",20,0)+IF(N78="Yes",15,0)+IF(O78="Yes",15,0)+IF(P78="No",15,0),0),IF(I78="Candidate",MIN(60,G78),IF(I78="Rejected",0,MIN(40,G78))))</x:f>
        <x:v>40</x:v>
      </x:c>
      <x:c r="R78" s="14" t="str">
        <x:f>IF(Q78&gt;=80,"Can Use",IF(Q78&gt;=65,"Can Use With Confirmation",IF(Q78&gt;=50,"Watch Only",IF(Q78&gt;=30,"Research Only","Do Not Use"))))</x:f>
        <x:v>Research Only</x:v>
      </x:c>
      <x:c r="S78" s="14" t="str">
        <x:f>IF(A78="CRDO","P0",IF(A78="LITE","P0",IF(A78="NVDA","P1","P2")))</x:f>
        <x:v>P2</x:v>
      </x:c>
      <x:c r="T78" s="14"/>
      <x:c r="U78" s="14"/>
      <x:c r="V78" s="14"/>
      <x:c r="W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 t="n">
        <x:f>IF(I79="Verified",ROUND(G79*0.35+IF(M79="Yes",20,0)+IF(N79="Yes",15,0)+IF(O79="Yes",15,0)+IF(P79="No",15,0),0),IF(I79="Candidate",MIN(60,G79),IF(I79="Rejected",0,MIN(40,G79))))</x:f>
        <x:v>40</x:v>
      </x:c>
      <x:c r="R79" s="14" t="str">
        <x:f>IF(Q79&gt;=80,"Can Use",IF(Q79&gt;=65,"Can Use With Confirmation",IF(Q79&gt;=50,"Watch Only",IF(Q79&gt;=30,"Research Only","Do Not Use"))))</x:f>
        <x:v>Research Only</x:v>
      </x:c>
      <x:c r="S79" s="14" t="str">
        <x:f>IF(A79="CRDO","P0",IF(A79="LITE","P0",IF(A79="NVDA","P1","P2")))</x:f>
        <x:v>P2</x:v>
      </x:c>
      <x:c r="T79" s="14"/>
      <x:c r="U79" s="14"/>
      <x:c r="V79" s="14"/>
      <x:c r="W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 t="n">
        <x:f>IF(I80="Verified",ROUND(G80*0.35+IF(M80="Yes",20,0)+IF(N80="Yes",15,0)+IF(O80="Yes",15,0)+IF(P80="No",15,0),0),IF(I80="Candidate",MIN(60,G80),IF(I80="Rejected",0,MIN(40,G80))))</x:f>
        <x:v>40</x:v>
      </x:c>
      <x:c r="R80" s="14" t="str">
        <x:f>IF(Q80&gt;=80,"Can Use",IF(Q80&gt;=65,"Can Use With Confirmation",IF(Q80&gt;=50,"Watch Only",IF(Q80&gt;=30,"Research Only","Do Not Use"))))</x:f>
        <x:v>Research Only</x:v>
      </x:c>
      <x:c r="S80" s="14" t="str">
        <x:f>IF(A80="CRDO","P0",IF(A80="LITE","P0",IF(A80="NVDA","P1","P2")))</x:f>
        <x:v>P2</x:v>
      </x:c>
      <x:c r="T80" s="14"/>
      <x:c r="U80" s="14"/>
      <x:c r="V80" s="14"/>
      <x:c r="W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 t="n">
        <x:f>IF(I81="Verified",ROUND(G81*0.35+IF(M81="Yes",20,0)+IF(N81="Yes",15,0)+IF(O81="Yes",15,0)+IF(P81="No",15,0),0),IF(I81="Candidate",MIN(60,G81),IF(I81="Rejected",0,MIN(40,G81))))</x:f>
        <x:v>40</x:v>
      </x:c>
      <x:c r="R81" s="14" t="str">
        <x:f>IF(Q81&gt;=80,"Can Use",IF(Q81&gt;=65,"Can Use With Confirmation",IF(Q81&gt;=50,"Watch Only",IF(Q81&gt;=30,"Research Only","Do Not Use"))))</x:f>
        <x:v>Research Only</x:v>
      </x:c>
      <x:c r="S81" s="14" t="str">
        <x:f>IF(A81="CRDO","P0",IF(A81="LITE","P0",IF(A81="NVDA","P1","P2")))</x:f>
        <x:v>P2</x:v>
      </x:c>
      <x:c r="T81" s="14"/>
      <x:c r="U81" s="14"/>
      <x:c r="V81" s="14"/>
      <x:c r="W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 t="n">
        <x:f>IF(I82="Verified",ROUND(G82*0.35+IF(M82="Yes",20,0)+IF(N82="Yes",15,0)+IF(O82="Yes",15,0)+IF(P82="No",15,0),0),IF(I82="Candidate",MIN(60,G82),IF(I82="Rejected",0,MIN(40,G82))))</x:f>
        <x:v>40</x:v>
      </x:c>
      <x:c r="R82" s="14" t="str">
        <x:f>IF(Q82&gt;=80,"Can Use",IF(Q82&gt;=65,"Can Use With Confirmation",IF(Q82&gt;=50,"Watch Only",IF(Q82&gt;=30,"Research Only","Do Not Use"))))</x:f>
        <x:v>Research Only</x:v>
      </x:c>
      <x:c r="S82" s="14" t="str">
        <x:f>IF(A82="CRDO","P0",IF(A82="LITE","P0",IF(A82="NVDA","P1","P2")))</x:f>
        <x:v>P2</x:v>
      </x:c>
      <x:c r="T82" s="14"/>
      <x:c r="U82" s="14"/>
      <x:c r="V82" s="14"/>
      <x:c r="W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 t="n">
        <x:f>IF(I83="Verified",ROUND(G83*0.35+IF(M83="Yes",20,0)+IF(N83="Yes",15,0)+IF(O83="Yes",15,0)+IF(P83="No",15,0),0),IF(I83="Candidate",MIN(60,G83),IF(I83="Rejected",0,MIN(40,G83))))</x:f>
        <x:v>40</x:v>
      </x:c>
      <x:c r="R83" s="14" t="str">
        <x:f>IF(Q83&gt;=80,"Can Use",IF(Q83&gt;=65,"Can Use With Confirmation",IF(Q83&gt;=50,"Watch Only",IF(Q83&gt;=30,"Research Only","Do Not Use"))))</x:f>
        <x:v>Research Only</x:v>
      </x:c>
      <x:c r="S83" s="14" t="str">
        <x:f>IF(A83="CRDO","P0",IF(A83="LITE","P0",IF(A83="NVDA","P1","P2")))</x:f>
        <x:v>P2</x:v>
      </x:c>
      <x:c r="T83" s="14"/>
      <x:c r="U83" s="14"/>
      <x:c r="V83" s="14"/>
      <x:c r="W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 t="n">
        <x:f>IF(I84="Verified",ROUND(G84*0.35+IF(M84="Yes",20,0)+IF(N84="Yes",15,0)+IF(O84="Yes",15,0)+IF(P84="No",15,0),0),IF(I84="Candidate",MIN(60,G84),IF(I84="Rejected",0,MIN(40,G84))))</x:f>
        <x:v>40</x:v>
      </x:c>
      <x:c r="R84" s="14" t="str">
        <x:f>IF(Q84&gt;=80,"Can Use",IF(Q84&gt;=65,"Can Use With Confirmation",IF(Q84&gt;=50,"Watch Only",IF(Q84&gt;=30,"Research Only","Do Not Use"))))</x:f>
        <x:v>Research Only</x:v>
      </x:c>
      <x:c r="S84" s="14" t="str">
        <x:f>IF(A84="CRDO","P0",IF(A84="LITE","P0",IF(A84="NVDA","P1","P2")))</x:f>
        <x:v>P2</x:v>
      </x:c>
      <x:c r="T84" s="14"/>
      <x:c r="U84" s="14"/>
      <x:c r="V84" s="14"/>
      <x:c r="W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 t="n">
        <x:f>IF(I85="Verified",ROUND(G85*0.35+IF(M85="Yes",20,0)+IF(N85="Yes",15,0)+IF(O85="Yes",15,0)+IF(P85="No",15,0),0),IF(I85="Candidate",MIN(60,G85),IF(I85="Rejected",0,MIN(40,G85))))</x:f>
        <x:v>40</x:v>
      </x:c>
      <x:c r="R85" s="14" t="str">
        <x:f>IF(Q85&gt;=80,"Can Use",IF(Q85&gt;=65,"Can Use With Confirmation",IF(Q85&gt;=50,"Watch Only",IF(Q85&gt;=30,"Research Only","Do Not Use"))))</x:f>
        <x:v>Research Only</x:v>
      </x:c>
      <x:c r="S85" s="14" t="str">
        <x:f>IF(A85="CRDO","P0",IF(A85="LITE","P0",IF(A85="NVDA","P1","P2")))</x:f>
        <x:v>P2</x:v>
      </x:c>
      <x:c r="T85" s="14"/>
      <x:c r="U85" s="14"/>
      <x:c r="V85" s="14"/>
      <x:c r="W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 t="n">
        <x:f>IF(I86="Verified",ROUND(G86*0.35+IF(M86="Yes",20,0)+IF(N86="Yes",15,0)+IF(O86="Yes",15,0)+IF(P86="No",15,0),0),IF(I86="Candidate",MIN(60,G86),IF(I86="Rejected",0,MIN(40,G86))))</x:f>
        <x:v>40</x:v>
      </x:c>
      <x:c r="R86" s="14" t="str">
        <x:f>IF(Q86&gt;=80,"Can Use",IF(Q86&gt;=65,"Can Use With Confirmation",IF(Q86&gt;=50,"Watch Only",IF(Q86&gt;=30,"Research Only","Do Not Use"))))</x:f>
        <x:v>Research Only</x:v>
      </x:c>
      <x:c r="S86" s="14" t="str">
        <x:f>IF(A86="CRDO","P0",IF(A86="LITE","P0",IF(A86="NVDA","P1","P2")))</x:f>
        <x:v>P2</x:v>
      </x:c>
      <x:c r="T86" s="14"/>
      <x:c r="U86" s="14"/>
      <x:c r="V86" s="14"/>
      <x:c r="W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 t="n">
        <x:f>IF(I87="Verified",ROUND(G87*0.35+IF(M87="Yes",20,0)+IF(N87="Yes",15,0)+IF(O87="Yes",15,0)+IF(P87="No",15,0),0),IF(I87="Candidate",MIN(60,G87),IF(I87="Rejected",0,MIN(40,G87))))</x:f>
        <x:v>40</x:v>
      </x:c>
      <x:c r="R87" s="14" t="str">
        <x:f>IF(Q87&gt;=80,"Can Use",IF(Q87&gt;=65,"Can Use With Confirmation",IF(Q87&gt;=50,"Watch Only",IF(Q87&gt;=30,"Research Only","Do Not Use"))))</x:f>
        <x:v>Research Only</x:v>
      </x:c>
      <x:c r="S87" s="14" t="str">
        <x:f>IF(A87="CRDO","P0",IF(A87="LITE","P0",IF(A87="NVDA","P1","P2")))</x:f>
        <x:v>P2</x:v>
      </x:c>
      <x:c r="T87" s="14"/>
      <x:c r="U87" s="14"/>
      <x:c r="V87" s="14"/>
      <x:c r="W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 t="n">
        <x:f>IF(I88="Verified",ROUND(G88*0.35+IF(M88="Yes",20,0)+IF(N88="Yes",15,0)+IF(O88="Yes",15,0)+IF(P88="No",15,0),0),IF(I88="Candidate",MIN(60,G88),IF(I88="Rejected",0,MIN(40,G88))))</x:f>
        <x:v>40</x:v>
      </x:c>
      <x:c r="R88" s="14" t="str">
        <x:f>IF(Q88&gt;=80,"Can Use",IF(Q88&gt;=65,"Can Use With Confirmation",IF(Q88&gt;=50,"Watch Only",IF(Q88&gt;=30,"Research Only","Do Not Use"))))</x:f>
        <x:v>Research Only</x:v>
      </x:c>
      <x:c r="S88" s="14" t="str">
        <x:f>IF(A88="CRDO","P0",IF(A88="LITE","P0",IF(A88="NVDA","P1","P2")))</x:f>
        <x:v>P2</x:v>
      </x:c>
      <x:c r="T88" s="14"/>
      <x:c r="U88" s="14"/>
      <x:c r="V88" s="14"/>
      <x:c r="W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 t="n">
        <x:f>IF(I89="Verified",ROUND(G89*0.35+IF(M89="Yes",20,0)+IF(N89="Yes",15,0)+IF(O89="Yes",15,0)+IF(P89="No",15,0),0),IF(I89="Candidate",MIN(60,G89),IF(I89="Rejected",0,MIN(40,G89))))</x:f>
        <x:v>40</x:v>
      </x:c>
      <x:c r="R89" s="14" t="str">
        <x:f>IF(Q89&gt;=80,"Can Use",IF(Q89&gt;=65,"Can Use With Confirmation",IF(Q89&gt;=50,"Watch Only",IF(Q89&gt;=30,"Research Only","Do Not Use"))))</x:f>
        <x:v>Research Only</x:v>
      </x:c>
      <x:c r="S89" s="14" t="str">
        <x:f>IF(A89="CRDO","P0",IF(A89="LITE","P0",IF(A89="NVDA","P1","P2")))</x:f>
        <x:v>P2</x:v>
      </x:c>
      <x:c r="T89" s="14"/>
      <x:c r="U89" s="14"/>
      <x:c r="V89" s="14"/>
      <x:c r="W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 t="n">
        <x:f>IF(I90="Verified",ROUND(G90*0.35+IF(M90="Yes",20,0)+IF(N90="Yes",15,0)+IF(O90="Yes",15,0)+IF(P90="No",15,0),0),IF(I90="Candidate",MIN(60,G90),IF(I90="Rejected",0,MIN(40,G90))))</x:f>
        <x:v>40</x:v>
      </x:c>
      <x:c r="R90" s="14" t="str">
        <x:f>IF(Q90&gt;=80,"Can Use",IF(Q90&gt;=65,"Can Use With Confirmation",IF(Q90&gt;=50,"Watch Only",IF(Q90&gt;=30,"Research Only","Do Not Use"))))</x:f>
        <x:v>Research Only</x:v>
      </x:c>
      <x:c r="S90" s="14" t="str">
        <x:f>IF(A90="CRDO","P0",IF(A90="LITE","P0",IF(A90="NVDA","P1","P2")))</x:f>
        <x:v>P2</x:v>
      </x:c>
      <x:c r="T90" s="14"/>
      <x:c r="U90" s="14"/>
      <x:c r="V90" s="14"/>
      <x:c r="W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 t="n">
        <x:f>IF(I91="Verified",ROUND(G91*0.35+IF(M91="Yes",20,0)+IF(N91="Yes",15,0)+IF(O91="Yes",15,0)+IF(P91="No",15,0),0),IF(I91="Candidate",MIN(60,G91),IF(I91="Rejected",0,MIN(40,G91))))</x:f>
        <x:v>40</x:v>
      </x:c>
      <x:c r="R91" s="14" t="str">
        <x:f>IF(Q91&gt;=80,"Can Use",IF(Q91&gt;=65,"Can Use With Confirmation",IF(Q91&gt;=50,"Watch Only",IF(Q91&gt;=30,"Research Only","Do Not Use"))))</x:f>
        <x:v>Research Only</x:v>
      </x:c>
      <x:c r="S91" s="14" t="str">
        <x:f>IF(A91="CRDO","P0",IF(A91="LITE","P0",IF(A91="NVDA","P1","P2")))</x:f>
        <x:v>P2</x:v>
      </x:c>
      <x:c r="T91" s="14"/>
      <x:c r="U91" s="14"/>
      <x:c r="V91" s="14"/>
      <x:c r="W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 t="n">
        <x:f>IF(I92="Verified",ROUND(G92*0.35+IF(M92="Yes",20,0)+IF(N92="Yes",15,0)+IF(O92="Yes",15,0)+IF(P92="No",15,0),0),IF(I92="Candidate",MIN(60,G92),IF(I92="Rejected",0,MIN(40,G92))))</x:f>
        <x:v>40</x:v>
      </x:c>
      <x:c r="R92" s="14" t="str">
        <x:f>IF(Q92&gt;=80,"Can Use",IF(Q92&gt;=65,"Can Use With Confirmation",IF(Q92&gt;=50,"Watch Only",IF(Q92&gt;=30,"Research Only","Do Not Use"))))</x:f>
        <x:v>Research Only</x:v>
      </x:c>
      <x:c r="S92" s="14" t="str">
        <x:f>IF(A92="CRDO","P0",IF(A92="LITE","P0",IF(A92="NVDA","P1","P2")))</x:f>
        <x:v>P2</x:v>
      </x:c>
      <x:c r="T92" s="14"/>
      <x:c r="U92" s="14"/>
      <x:c r="V92" s="14"/>
      <x:c r="W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 t="n">
        <x:f>IF(I93="Verified",ROUND(G93*0.35+IF(M93="Yes",20,0)+IF(N93="Yes",15,0)+IF(O93="Yes",15,0)+IF(P93="No",15,0),0),IF(I93="Candidate",MIN(60,G93),IF(I93="Rejected",0,MIN(40,G93))))</x:f>
        <x:v>40</x:v>
      </x:c>
      <x:c r="R93" s="14" t="str">
        <x:f>IF(Q93&gt;=80,"Can Use",IF(Q93&gt;=65,"Can Use With Confirmation",IF(Q93&gt;=50,"Watch Only",IF(Q93&gt;=30,"Research Only","Do Not Use"))))</x:f>
        <x:v>Research Only</x:v>
      </x:c>
      <x:c r="S93" s="14" t="str">
        <x:f>IF(A93="CRDO","P0",IF(A93="LITE","P0",IF(A93="NVDA","P1","P2")))</x:f>
        <x:v>P2</x:v>
      </x:c>
      <x:c r="T93" s="14"/>
      <x:c r="U93" s="14"/>
      <x:c r="V93" s="14"/>
      <x:c r="W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 t="n">
        <x:f>IF(I94="Verified",ROUND(G94*0.35+IF(M94="Yes",20,0)+IF(N94="Yes",15,0)+IF(O94="Yes",15,0)+IF(P94="No",15,0),0),IF(I94="Candidate",MIN(60,G94),IF(I94="Rejected",0,MIN(40,G94))))</x:f>
        <x:v>40</x:v>
      </x:c>
      <x:c r="R94" s="14" t="str">
        <x:f>IF(Q94&gt;=80,"Can Use",IF(Q94&gt;=65,"Can Use With Confirmation",IF(Q94&gt;=50,"Watch Only",IF(Q94&gt;=30,"Research Only","Do Not Use"))))</x:f>
        <x:v>Research Only</x:v>
      </x:c>
      <x:c r="S94" s="14" t="str">
        <x:f>IF(A94="CRDO","P0",IF(A94="LITE","P0",IF(A94="NVDA","P1","P2")))</x:f>
        <x:v>P2</x:v>
      </x:c>
      <x:c r="T94" s="14"/>
      <x:c r="U94" s="14"/>
      <x:c r="V94" s="14"/>
      <x:c r="W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 t="n">
        <x:f>IF(I95="Verified",ROUND(G95*0.35+IF(M95="Yes",20,0)+IF(N95="Yes",15,0)+IF(O95="Yes",15,0)+IF(P95="No",15,0),0),IF(I95="Candidate",MIN(60,G95),IF(I95="Rejected",0,MIN(40,G95))))</x:f>
        <x:v>40</x:v>
      </x:c>
      <x:c r="R95" s="14" t="str">
        <x:f>IF(Q95&gt;=80,"Can Use",IF(Q95&gt;=65,"Can Use With Confirmation",IF(Q95&gt;=50,"Watch Only",IF(Q95&gt;=30,"Research Only","Do Not Use"))))</x:f>
        <x:v>Research Only</x:v>
      </x:c>
      <x:c r="S95" s="14" t="str">
        <x:f>IF(A95="CRDO","P0",IF(A95="LITE","P0",IF(A95="NVDA","P1","P2")))</x:f>
        <x:v>P2</x:v>
      </x:c>
      <x:c r="T95" s="14"/>
      <x:c r="U95" s="14"/>
      <x:c r="V95" s="14"/>
      <x:c r="W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 t="n">
        <x:f>IF(I96="Verified",ROUND(G96*0.35+IF(M96="Yes",20,0)+IF(N96="Yes",15,0)+IF(O96="Yes",15,0)+IF(P96="No",15,0),0),IF(I96="Candidate",MIN(60,G96),IF(I96="Rejected",0,MIN(40,G96))))</x:f>
        <x:v>40</x:v>
      </x:c>
      <x:c r="R96" s="14" t="str">
        <x:f>IF(Q96&gt;=80,"Can Use",IF(Q96&gt;=65,"Can Use With Confirmation",IF(Q96&gt;=50,"Watch Only",IF(Q96&gt;=30,"Research Only","Do Not Use"))))</x:f>
        <x:v>Research Only</x:v>
      </x:c>
      <x:c r="S96" s="14" t="str">
        <x:f>IF(A96="CRDO","P0",IF(A96="LITE","P0",IF(A96="NVDA","P1","P2")))</x:f>
        <x:v>P2</x:v>
      </x:c>
      <x:c r="T96" s="14"/>
      <x:c r="U96" s="14"/>
      <x:c r="V96" s="14"/>
      <x:c r="W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 t="n">
        <x:f>IF(I97="Verified",ROUND(G97*0.35+IF(M97="Yes",20,0)+IF(N97="Yes",15,0)+IF(O97="Yes",15,0)+IF(P97="No",15,0),0),IF(I97="Candidate",MIN(60,G97),IF(I97="Rejected",0,MIN(40,G97))))</x:f>
        <x:v>40</x:v>
      </x:c>
      <x:c r="R97" s="14" t="str">
        <x:f>IF(Q97&gt;=80,"Can Use",IF(Q97&gt;=65,"Can Use With Confirmation",IF(Q97&gt;=50,"Watch Only",IF(Q97&gt;=30,"Research Only","Do Not Use"))))</x:f>
        <x:v>Research Only</x:v>
      </x:c>
      <x:c r="S97" s="14" t="str">
        <x:f>IF(A97="CRDO","P0",IF(A97="LITE","P0",IF(A97="NVDA","P1","P2")))</x:f>
        <x:v>P2</x:v>
      </x:c>
      <x:c r="T97" s="14"/>
      <x:c r="U97" s="14"/>
      <x:c r="V97" s="14"/>
      <x:c r="W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 t="n">
        <x:f>IF(I98="Verified",ROUND(G98*0.35+IF(M98="Yes",20,0)+IF(N98="Yes",15,0)+IF(O98="Yes",15,0)+IF(P98="No",15,0),0),IF(I98="Candidate",MIN(60,G98),IF(I98="Rejected",0,MIN(40,G98))))</x:f>
        <x:v>40</x:v>
      </x:c>
      <x:c r="R98" s="14" t="str">
        <x:f>IF(Q98&gt;=80,"Can Use",IF(Q98&gt;=65,"Can Use With Confirmation",IF(Q98&gt;=50,"Watch Only",IF(Q98&gt;=30,"Research Only","Do Not Use"))))</x:f>
        <x:v>Research Only</x:v>
      </x:c>
      <x:c r="S98" s="14" t="str">
        <x:f>IF(A98="CRDO","P0",IF(A98="LITE","P0",IF(A98="NVDA","P1","P2")))</x:f>
        <x:v>P2</x:v>
      </x:c>
      <x:c r="T98" s="14"/>
      <x:c r="U98" s="14"/>
      <x:c r="V98" s="14"/>
      <x:c r="W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 t="n">
        <x:f>IF(I99="Verified",ROUND(G99*0.35+IF(M99="Yes",20,0)+IF(N99="Yes",15,0)+IF(O99="Yes",15,0)+IF(P99="No",15,0),0),IF(I99="Candidate",MIN(60,G99),IF(I99="Rejected",0,MIN(40,G99))))</x:f>
        <x:v>40</x:v>
      </x:c>
      <x:c r="R99" s="14" t="str">
        <x:f>IF(Q99&gt;=80,"Can Use",IF(Q99&gt;=65,"Can Use With Confirmation",IF(Q99&gt;=50,"Watch Only",IF(Q99&gt;=30,"Research Only","Do Not Use"))))</x:f>
        <x:v>Research Only</x:v>
      </x:c>
      <x:c r="S99" s="14" t="str">
        <x:f>IF(A99="CRDO","P0",IF(A99="LITE","P0",IF(A99="NVDA","P1","P2")))</x:f>
        <x:v>P2</x:v>
      </x:c>
      <x:c r="T99" s="14"/>
      <x:c r="U99" s="14"/>
      <x:c r="V99" s="14"/>
      <x:c r="W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 t="n">
        <x:f>IF(I100="Verified",ROUND(G100*0.35+IF(M100="Yes",20,0)+IF(N100="Yes",15,0)+IF(O100="Yes",15,0)+IF(P100="No",15,0),0),IF(I100="Candidate",MIN(60,G100),IF(I100="Rejected",0,MIN(40,G100))))</x:f>
        <x:v>40</x:v>
      </x:c>
      <x:c r="R100" s="14" t="str">
        <x:f>IF(Q100&gt;=80,"Can Use",IF(Q100&gt;=65,"Can Use With Confirmation",IF(Q100&gt;=50,"Watch Only",IF(Q100&gt;=30,"Research Only","Do Not Use"))))</x:f>
        <x:v>Research Only</x:v>
      </x:c>
      <x:c r="S100" s="14" t="str">
        <x:f>IF(A100="CRDO","P0",IF(A100="LITE","P0",IF(A100="NVDA","P1","P2")))</x:f>
        <x:v>P2</x:v>
      </x:c>
      <x:c r="T100" s="14"/>
      <x:c r="U100" s="14"/>
      <x:c r="V100" s="14"/>
      <x:c r="W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 t="n">
        <x:f>IF(I101="Verified",ROUND(G101*0.35+IF(M101="Yes",20,0)+IF(N101="Yes",15,0)+IF(O101="Yes",15,0)+IF(P101="No",15,0),0),IF(I101="Candidate",MIN(60,G101),IF(I101="Rejected",0,MIN(40,G101))))</x:f>
        <x:v>40</x:v>
      </x:c>
      <x:c r="R101" s="14" t="str">
        <x:f>IF(Q101&gt;=80,"Can Use",IF(Q101&gt;=65,"Can Use With Confirmation",IF(Q101&gt;=50,"Watch Only",IF(Q101&gt;=30,"Research Only","Do Not Use"))))</x:f>
        <x:v>Research Only</x:v>
      </x:c>
      <x:c r="S101" s="14" t="str">
        <x:f>IF(A101="CRDO","P0",IF(A101="LITE","P0",IF(A101="NVDA","P1","P2")))</x:f>
        <x:v>P2</x:v>
      </x:c>
      <x:c r="T101" s="14"/>
      <x:c r="U101" s="14"/>
      <x:c r="V101" s="14"/>
      <x:c r="W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</x:row>
  </x:sheetData>
  <x:conditionalFormatting sqref="Q2:Q200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I2:I200">
    <x:cfRule type="expression" dxfId="0" priority="2">
      <x:formula>I2="Verified"</x:formula>
    </x:cfRule>
    <x:cfRule type="expression" dxfId="1" priority="3">
      <x:formula>I2="Unverified"</x:formula>
    </x:cfRule>
    <x:cfRule type="expression" dxfId="2" priority="4">
      <x:formula>I2="Candidate"</x:formula>
    </x:cfRule>
  </x:conditionalFormatting>
  <x:conditionalFormatting sqref="R2:R200">
    <x:cfRule type="expression" dxfId="3" priority="5">
      <x:formula>R2="Can Use"</x:formula>
    </x:cfRule>
    <x:cfRule type="expression" dxfId="4" priority="6">
      <x:formula>R2="Do Not Use"</x:formula>
    </x:cfRule>
  </x:conditionalFormatting>
  <x:dataValidations count="8">
    <x:dataValidation type="list" sqref="I2:I200">
      <x:formula1>Lists!$A$2:$A$6</x:formula1>
    </x:dataValidation>
    <x:dataValidation type="list" sqref="J2:J200">
      <x:formula1>Lists!$C$2:$C$6</x:formula1>
    </x:dataValidation>
    <x:dataValidation type="list" sqref="M2:M200">
      <x:formula1>"Yes,No,Unknown,N/A"</x:formula1>
    </x:dataValidation>
    <x:dataValidation type="list" sqref="N2:N200">
      <x:formula1>"Yes,No,Unknown,N/A"</x:formula1>
    </x:dataValidation>
    <x:dataValidation type="list" sqref="O2:O200">
      <x:formula1>"Yes,No,Unknown,N/A"</x:formula1>
    </x:dataValidation>
    <x:dataValidation type="list" sqref="P2:P200">
      <x:formula1>"Yes,No,Unknown,N/A"</x:formula1>
    </x:dataValidation>
    <x:dataValidation type="list" sqref="R2:R200">
      <x:formula1>Lists!$D$2:$D$6</x:formula1>
    </x:dataValidation>
    <x:dataValidation type="list" sqref="S2:S2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f3827a7e7e49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2" t="str">
        <x:v>Gann Anchor Verification Rules v0.1</x:v>
      </x:c>
      <x:c r="B1" s="14" t="str"/>
      <x:c r="C1" s="14" t="str"/>
      <x:c r="D1" s="14" t="str"/>
      <x:c r="E1" s="14" t="str"/>
      <x:c r="F1" s="14" t="str"/>
    </x:row>
    <x:row r="2">
      <x:c r="A2" s="9" t="str">
        <x:v>Rule</x:v>
      </x:c>
      <x:c r="B2" s="9" t="str">
        <x:v>Requirement</x:v>
      </x:c>
      <x:c r="C2" s="9" t="str">
        <x:v>Why It Matters</x:v>
      </x:c>
      <x:c r="D2" s="9" t="str">
        <x:v>Can Use?</x:v>
      </x:c>
      <x:c r="E2" s="9" t="str">
        <x:v>Action</x:v>
      </x:c>
      <x:c r="F2" s="9" t="str"/>
    </x:row>
    <x:row r="3">
      <x:c r="A3" s="14" t="str">
        <x:v>Absolute high/low</x:v>
      </x:c>
      <x:c r="B3" s="14" t="str">
        <x:v>Must match a market-recognized high/low on daily or weekly chart.</x:v>
      </x:c>
      <x:c r="C3" s="14" t="str">
        <x:v>Gann levels are highly sensitive to anchor selection.</x:v>
      </x:c>
      <x:c r="D3" s="14" t="str">
        <x:v>Yes if verified</x:v>
      </x:c>
      <x:c r="E3" s="14" t="str">
        <x:v>Can Use</x:v>
      </x:c>
      <x:c r="F3" s="14" t="str"/>
    </x:row>
    <x:row r="4">
      <x:c r="A4" s="14" t="str">
        <x:v>Earnings gap</x:v>
      </x:c>
      <x:c r="B4" s="14" t="str">
        <x:v>Must be tied to earnings date and gap high/low/close must be specified.</x:v>
      </x:c>
      <x:c r="C4" s="14" t="str">
        <x:v>Event pivots often matter more than random swing points.</x:v>
      </x:c>
      <x:c r="D4" s="14" t="str">
        <x:v>Yes with confirmation</x:v>
      </x:c>
      <x:c r="E4" s="14" t="str">
        <x:v>Can Use With Confirmation</x:v>
      </x:c>
      <x:c r="F4" s="14" t="str"/>
    </x:row>
    <x:row r="5">
      <x:c r="A5" s="14" t="str">
        <x:v>Major gap</x:v>
      </x:c>
      <x:c r="B5" s="14" t="str">
        <x:v>Gap must be &gt;5% or market-recognized; record gap open/high/low/close.</x:v>
      </x:c>
      <x:c r="C5" s="14" t="str">
        <x:v>Gap anchors should represent institutional repricing.</x:v>
      </x:c>
      <x:c r="D5" s="14" t="str">
        <x:v>Yes with confirmation</x:v>
      </x:c>
      <x:c r="E5" s="14" t="str">
        <x:v>Can Use With Confirmation</x:v>
      </x:c>
      <x:c r="F5" s="14" t="str"/>
    </x:row>
    <x:row r="6">
      <x:c r="A6" s="14" t="str">
        <x:v>Swing high/low</x:v>
      </x:c>
      <x:c r="B6" s="14" t="str">
        <x:v>Needs at least two failed attempts or clear reversal/volume confirmation.</x:v>
      </x:c>
      <x:c r="C6" s="14" t="str">
        <x:v>Minor swings create noise.</x:v>
      </x:c>
      <x:c r="D6" s="14" t="str">
        <x:v>Watch only unless very clear</x:v>
      </x:c>
      <x:c r="E6" s="14" t="str">
        <x:v>Watch Only</x:v>
      </x:c>
      <x:c r="F6" s="14" t="str"/>
    </x:row>
    <x:row r="7">
      <x:c r="A7" s="14" t="str">
        <x:v>Sample anchor</x:v>
      </x:c>
      <x:c r="B7" s="14" t="str">
        <x:v>Any anchor labeled sample is not tradable until verified.</x:v>
      </x:c>
      <x:c r="C7" s="14" t="str">
        <x:v>Prevents fake precision.</x:v>
      </x:c>
      <x:c r="D7" s="14" t="str">
        <x:v>No</x:v>
      </x:c>
      <x:c r="E7" s="14" t="str">
        <x:v>Research Only</x:v>
      </x:c>
      <x:c r="F7" s="14" t="str"/>
    </x:row>
    <x:row r="8">
      <x:c r="A8" s="14" t="str">
        <x:v>Reject condition</x:v>
      </x:c>
      <x:c r="B8" s="14" t="str">
        <x:v>If chart does not confirm date/price/event, mark Rejected.</x:v>
      </x:c>
      <x:c r="C8" s="14" t="str">
        <x:v>Bad anchors poison all downstream levels.</x:v>
      </x:c>
      <x:c r="D8" s="14" t="str">
        <x:v>No</x:v>
      </x:c>
      <x:c r="E8" s="14" t="str">
        <x:v>Do Not Use</x:v>
      </x:c>
      <x:c r="F8" s="14" t="str"/>
    </x:row>
    <x:row r="9">
      <x:c r="A9" s="14" t="str">
        <x:v>Minimum use score</x:v>
      </x:c>
      <x:c r="B9" s="14" t="str">
        <x:v>Verification Score &gt;= 65.</x:v>
      </x:c>
      <x:c r="C9" s="14" t="str">
        <x:v>Below this, Gann is only a research note.</x:v>
      </x:c>
      <x:c r="D9" s="14" t="str">
        <x:v>Conditional</x:v>
      </x:c>
      <x:c r="E9" s="14" t="str">
        <x:v>Can Use With Confirmation</x:v>
      </x:c>
      <x:c r="F9" s="14" t="str"/>
    </x:row>
    <x:row r="10">
      <x:c r="A10" s="14" t="str">
        <x:v>Formal trade use</x:v>
      </x:c>
      <x:c r="B10" s="14" t="str">
        <x:v>Needs verified anchor + current price + AVWAP/RSI/TCG confirmation.</x:v>
      </x:c>
      <x:c r="C10" s="14" t="str">
        <x:v>Gann cannot act alone.</x:v>
      </x:c>
      <x:c r="D10" s="14" t="str">
        <x:v>Conditional</x:v>
      </x:c>
      <x:c r="E10" s="14" t="str">
        <x:v>Can Use</x:v>
      </x:c>
      <x:c r="F10" s="14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6f4473e58ab40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4" t="str">
        <x:v>Status</x:v>
      </x:c>
      <x:c r="B1" s="4" t="str">
        <x:v>Anchor Class</x:v>
      </x:c>
      <x:c r="C1" s="4" t="str">
        <x:v>Source Type</x:v>
      </x:c>
      <x:c r="D1" s="4" t="str">
        <x:v>Use Permission</x:v>
      </x:c>
      <x:c r="E1" s="4" t="str">
        <x:v>Priority</x:v>
      </x:c>
    </x:row>
    <x:row r="2">
      <x:c r="A2" t="str">
        <x:v>Unverified</x:v>
      </x:c>
      <x:c r="B2" t="str">
        <x:v>Absolute High/Low</x:v>
      </x:c>
      <x:c r="C2" t="str">
        <x:v>Chart</x:v>
      </x:c>
      <x:c r="D2" t="str">
        <x:v>Do Not Use</x:v>
      </x:c>
      <x:c r="E2" t="str">
        <x:v>P0</x:v>
      </x:c>
    </x:row>
    <x:row r="3">
      <x:c r="A3" t="str">
        <x:v>Candidate</x:v>
      </x:c>
      <x:c r="B3" t="str">
        <x:v>Earnings Gap</x:v>
      </x:c>
      <x:c r="C3" t="str">
        <x:v>Broker</x:v>
      </x:c>
      <x:c r="D3" t="str">
        <x:v>Research Only</x:v>
      </x:c>
      <x:c r="E3" t="str">
        <x:v>P1</x:v>
      </x:c>
    </x:row>
    <x:row r="4">
      <x:c r="A4" t="str">
        <x:v>Verified</x:v>
      </x:c>
      <x:c r="B4" t="str">
        <x:v>Major Gap</x:v>
      </x:c>
      <x:c r="C4" t="str">
        <x:v>TradingView</x:v>
      </x:c>
      <x:c r="D4" t="str">
        <x:v>Watch Only</x:v>
      </x:c>
      <x:c r="E4" t="str">
        <x:v>P2</x:v>
      </x:c>
    </x:row>
    <x:row r="5">
      <x:c r="A5" t="str">
        <x:v>Rejected</x:v>
      </x:c>
      <x:c r="B5" t="str">
        <x:v>Swing High/Low</x:v>
      </x:c>
      <x:c r="C5" t="str">
        <x:v>Company IR</x:v>
      </x:c>
      <x:c r="D5" t="str">
        <x:v>Can Use With Confirmation</x:v>
      </x:c>
      <x:c r="E5" t="str">
        <x:v>P3</x:v>
      </x:c>
    </x:row>
    <x:row r="6">
      <x:c r="A6" t="str">
        <x:v>Archived</x:v>
      </x:c>
      <x:c r="B6" t="str">
        <x:v>Event Extreme</x:v>
      </x:c>
      <x:c r="C6" t="str">
        <x:v>Manual</x:v>
      </x:c>
      <x:c r="D6" t="str">
        <x:v>Can Use</x:v>
      </x:c>
      <x:c r="E6" t="str"/>
    </x:row>
  </x:sheetData>
  <x:pageMargins left="0.7" right="0.7" top="0.75" bottom="0.75" header="0.3" footer="0.3"/>
</x:worksheet>
</file>