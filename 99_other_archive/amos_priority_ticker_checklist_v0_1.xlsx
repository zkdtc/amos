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e594be10e43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fc342cc2d214796"/>
    <x:sheet xmlns:r="http://schemas.openxmlformats.org/officeDocument/2006/relationships" name="Manual Inputs" sheetId="2" r:id="R599fa30eb5f84568"/>
    <x:sheet xmlns:r="http://schemas.openxmlformats.org/officeDocument/2006/relationships" name="Ticker Checklist" sheetId="3" r:id="Rf9a3f60f273a4699"/>
    <x:sheet xmlns:r="http://schemas.openxmlformats.org/officeDocument/2006/relationships" name="Daily Brief Packet" sheetId="4" r:id="R9e390f2cb4d740ab"/>
    <x:sheet xmlns:r="http://schemas.openxmlformats.org/officeDocument/2006/relationships" name="Evidence Log" sheetId="5" r:id="R2fc43982298f4a45"/>
    <x:sheet xmlns:r="http://schemas.openxmlformats.org/officeDocument/2006/relationships" name="Lists" sheetId="6" r:id="Ra8b5ce146e3a46d3"/>
    <x:sheet xmlns:r="http://schemas.openxmlformats.org/officeDocument/2006/relationships" name="Generated Brief" sheetId="7" r:id="Rfe511816649345f5"/>
    <x:sheet xmlns:r="http://schemas.openxmlformats.org/officeDocument/2006/relationships" name="Brief Config" sheetId="8" r:id="R37d306ac4a474c3e"/>
    <x:sheet xmlns:r="http://schemas.openxmlformats.org/officeDocument/2006/relationships" name="Priority Checklist v0.1" sheetId="9" r:id="Ra645c7e83b7b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DBE6FF"/>
      <x:name val="Carlito"/>
    </x:font>
    <x:font>
      <x:b/>
      <x:sz val="16"/>
      <x:color rgb="FFD166"/>
      <x:name val="Carlito"/>
    </x:font>
    <x:font>
      <x:sz val="11"/>
      <x:color rgb="DBE6FF"/>
      <x:name val="Carlito"/>
    </x:font>
    <x:font>
      <x:b/>
      <x:sz val="11"/>
      <x:color rgb="A9B8D8"/>
      <x:name val="Carlito"/>
    </x:font>
    <x:font>
      <x:b/>
      <x:sz val="13"/>
      <x:color rgb="23D9FF"/>
      <x:name val="Carlito"/>
    </x:font>
    <x:font>
      <x:b/>
      <x:sz val="14"/>
      <x:color rgb="FFD16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05070C"/>
      </x:patternFill>
    </x:fill>
    <x:fill>
      <x:patternFill patternType="solid">
        <x:fgColor rgb="10182D"/>
      </x:patternFill>
    </x:fill>
    <x:fill>
      <x:patternFill patternType="solid">
        <x:fgColor rgb="05070C"/>
      </x:patternFill>
    </x:fill>
    <x:fill>
      <x:patternFill patternType="solid">
        <x:fgColor rgb="10182D"/>
      </x:patternFill>
    </x:fill>
    <x:fill>
      <x:patternFill patternType="solid">
        <x:fgColor rgb="0B1020"/>
      </x:patternFill>
    </x:fill>
    <x:fill>
      <x:patternFill patternType="solid">
        <x:fgColor rgb="0B1020"/>
      </x:patternFill>
    </x:fill>
    <x:fill>
      <x:patternFill patternType="solid">
        <x:fgColor rgb="05070C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left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8">
    <x:dxf>
      <x:font>
        <x:b/>
        <x:color rgb="FF4D6D"/>
      </x:font>
      <x:fill>
        <x:patternFill>
          <x:bgColor rgb="3A1F1F"/>
        </x:patternFill>
      </x:fill>
    </x:dxf>
    <x:dxf>
      <x:font>
        <x:b/>
        <x:color rgb="FFD166"/>
      </x:font>
      <x:fill>
        <x:patternFill>
          <x:bgColor rgb="2F2812"/>
        </x:patternFill>
      </x:fill>
    </x:dxf>
    <x:dxf>
      <x:font>
        <x:b/>
        <x:color rgb="32E68A"/>
      </x:font>
      <x:fill>
        <x:patternFill>
          <x:bgColor rgb="143023"/>
        </x:patternFill>
      </x:fill>
    </x:dxf>
    <x:dxf>
      <x:font>
        <x:b/>
        <x:color rgb="FF4D6D"/>
      </x:font>
      <x:fill>
        <x:patternFill>
          <x:bgColor rgb="3A1F1F"/>
        </x:patternFill>
      </x:fill>
    </x:dxf>
    <x:dxf>
      <x:font>
        <x:b/>
        <x:color rgb="32E68A"/>
      </x:font>
      <x:fill>
        <x:patternFill>
          <x:bgColor rgb="143023"/>
        </x:patternFill>
      </x:fill>
    </x:dxf>
    <x:dxf>
      <x:font>
        <x:b/>
        <x:color rgb="FF4D6D"/>
      </x:font>
      <x:fill>
        <x:patternFill patternType="solid">
          <x:bgColor rgb="3A1F1F"/>
        </x:patternFill>
      </x:fill>
    </x:dxf>
    <x:dxf>
      <x:font>
        <x:b/>
        <x:color rgb="FFD166"/>
      </x:font>
      <x:fill>
        <x:patternFill patternType="solid">
          <x:bgColor rgb="2F2812"/>
        </x:patternFill>
      </x:fill>
    </x:dxf>
    <x:dxf>
      <x:font>
        <x:b/>
        <x:color rgb="32E68A"/>
      </x:font>
      <x:fill>
        <x:patternFill patternType="solid">
          <x:bgColor rgb="14302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d4a8a3dc14792" /><Relationship Type="http://schemas.openxmlformats.org/officeDocument/2006/relationships/theme" Target="/xl/theme/theme1.xml" Id="R03770e1f797c4269" /><Relationship Type="http://schemas.openxmlformats.org/officeDocument/2006/relationships/sharedStrings" Target="/xl/sharedStrings.xml" Id="R18338b036a8b4d22" /><Relationship Type="http://schemas.openxmlformats.org/officeDocument/2006/relationships/worksheet" Target="/xl/worksheets/sheet1.xml" Id="R8fc342cc2d214796" /><Relationship Type="http://schemas.openxmlformats.org/officeDocument/2006/relationships/worksheet" Target="/xl/worksheets/sheet2.xml" Id="R599fa30eb5f84568" /><Relationship Type="http://schemas.openxmlformats.org/officeDocument/2006/relationships/worksheet" Target="/xl/worksheets/sheet3.xml" Id="Rf9a3f60f273a4699" /><Relationship Type="http://schemas.openxmlformats.org/officeDocument/2006/relationships/worksheet" Target="/xl/worksheets/sheet4.xml" Id="R9e390f2cb4d740ab" /><Relationship Type="http://schemas.openxmlformats.org/officeDocument/2006/relationships/worksheet" Target="/xl/worksheets/sheet5.xml" Id="R2fc43982298f4a45" /><Relationship Type="http://schemas.openxmlformats.org/officeDocument/2006/relationships/worksheet" Target="/xl/worksheets/sheet6.xml" Id="Ra8b5ce146e3a46d3" /><Relationship Type="http://schemas.openxmlformats.org/officeDocument/2006/relationships/worksheet" Target="/xl/worksheets/sheet7.xml" Id="Rfe511816649345f5" /><Relationship Type="http://schemas.openxmlformats.org/officeDocument/2006/relationships/worksheet" Target="/xl/worksheets/sheet8.xml" Id="R37d306ac4a474c3e" /><Relationship Type="http://schemas.openxmlformats.org/officeDocument/2006/relationships/worksheet" Target="/xl/worksheets/sheet9.xml" Id="Ra645c7e83b7b4d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89761f4597406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e875b63af74470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19bd3c2fa5648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Action Buckets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'Dashboard'!$A$7:$A$12</c:f>
              <c:strCache>
                <c:ptCount val="0"/>
              </c:strCache>
            </c:strRef>
          </c:cat>
          <c:val>
            <c:numRef>
              <c:f>'Dashboard'!$B$7:$B$12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Action Buckets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'Generated Brief'!$A$12:$A$17</c:f>
              <c:strCache>
                <c:ptCount val="0"/>
              </c:strCache>
            </c:strRef>
          </c:cat>
          <c:val>
            <c:numRef>
              <c:f>'Generated Brief'!$B$12:$B$17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Action Cap Summary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'Priority Checklist v0.1'!$W$6:$W$9</c:f>
              <c:strCache>
                <c:ptCount val="0"/>
              </c:strCache>
            </c:strRef>
          </c:cat>
          <c:val>
            <c:numRef>
              <c:f>'Priority Checklist v0.1'!$X$6:$X$9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89761f4597406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875b63af74470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25</xdr:col>
      <xdr:colOff>0</xdr:colOff>
      <xdr:row>2</xdr:row>
      <xdr:rowOff>0</xdr:rowOff>
    </xdr:from>
    <xdr:to>
      <xdr:col>33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9bd3c2fa5648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nualInputsTable" displayName="ManualInputsTable" ref="A1:AD11" headerRowCount="1">
  <x:tableColumns count="30">
    <x:tableColumn id="1" name="Date"/>
    <x:tableColumn id="2" name="Ticker"/>
    <x:tableColumn id="3" name="Company"/>
    <x:tableColumn id="4" name="Role"/>
    <x:tableColumn id="5" name="Position $"/>
    <x:tableColumn id="6" name="Position %"/>
    <x:tableColumn id="7" name="Last Price"/>
    <x:tableColumn id="8" name="Day %"/>
    <x:tableColumn id="9" name="RSI 14D"/>
    <x:tableColumn id="10" name="8 EMA State"/>
    <x:tableColumn id="11" name="12 EMA State"/>
    <x:tableColumn id="12" name="Trend Structure"/>
    <x:tableColumn id="13" name="RS vs QQQ"/>
    <x:tableColumn id="14" name="RS vs Peers"/>
    <x:tableColumn id="15" name="AVWAP Status"/>
    <x:tableColumn id="16" name="Gann Zone"/>
    <x:tableColumn id="17" name="Nearest Gann Support"/>
    <x:tableColumn id="18" name="Nearest Gann Resistance"/>
    <x:tableColumn id="19" name="Next Event"/>
    <x:tableColumn id="20" name="Event Pressure 0-100"/>
    <x:tableColumn id="21" name="Narrative"/>
    <x:tableColumn id="22" name="Narrative Strength 0-100"/>
    <x:tableColumn id="23" name="Narrative Maturity 0-100"/>
    <x:tableColumn id="24" name="Valuation State"/>
    <x:tableColumn id="25" name="Risk Stack 0-100"/>
    <x:tableColumn id="26" name="Panic Maturity 0-100"/>
    <x:tableColumn id="27" name="Action Bias"/>
    <x:tableColumn id="28" name="Invalidation"/>
    <x:tableColumn id="29" name="Data Freshness"/>
    <x:tableColumn id="3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ickerChecklistTable" displayName="TickerChecklistTable" ref="A1:K11" headerRowCount="1">
  <x:tableColumns count="11">
    <x:tableColumn id="1" name="Ticker"/>
    <x:tableColumn id="2" name="Must Update?"/>
    <x:tableColumn id="3" name="Price"/>
    <x:tableColumn id="4" name="RSI"/>
    <x:tableColumn id="5" name="EMA 8/12"/>
    <x:tableColumn id="6" name="AVWAP"/>
    <x:tableColumn id="7" name="Gann"/>
    <x:tableColumn id="8" name="Event"/>
    <x:tableColumn id="9" name="Valuation"/>
    <x:tableColumn id="10" name="Revisions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videnceLogTable" displayName="EvidenceLogTable" ref="A1:K3" headerRowCount="1">
  <x:tableColumns count="11">
    <x:tableColumn id="1" name="Date"/>
    <x:tableColumn id="2" name="Ticker"/>
    <x:tableColumn id="3" name="Source Type"/>
    <x:tableColumn id="4" name="Source Name / URL"/>
    <x:tableColumn id="5" name="Claim"/>
    <x:tableColumn id="6" name="Claim Type"/>
    <x:tableColumn id="7" name="Evidence Quality 0-100"/>
    <x:tableColumn id="8" name="Bias Risk 0-100"/>
    <x:tableColumn id="9" name="Counter Evidence"/>
    <x:tableColumn id="10" name="Linked Module"/>
    <x:tableColumn id="11" name="In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PriorityTickerChecklistTable" displayName="PriorityTickerChecklistTable" ref="A1:U11" headerRowCount="1">
  <x:tableColumns count="21">
    <x:tableColumn id="1" name="Ticker"/>
    <x:tableColumn id="2" name="Role"/>
    <x:tableColumn id="3" name="Priority"/>
    <x:tableColumn id="4" name="Check Price"/>
    <x:tableColumn id="5" name="Check RSI"/>
    <x:tableColumn id="6" name="Check 8/12 EMA"/>
    <x:tableColumn id="7" name="Check RS vs QQQ"/>
    <x:tableColumn id="8" name="Check RS vs Peers"/>
    <x:tableColumn id="9" name="Check AVWAP"/>
    <x:tableColumn id="10" name="Check Gann"/>
    <x:tableColumn id="11" name="Check Event"/>
    <x:tableColumn id="12" name="Check Valuation"/>
    <x:tableColumn id="13" name="Check Revisions"/>
    <x:tableColumn id="14" name="Check Options/Gamma"/>
    <x:tableColumn id="15" name="Must-Have Missing Count"/>
    <x:tableColumn id="16" name="Confidence Cap"/>
    <x:tableColumn id="17" name="Action Cap"/>
    <x:tableColumn id="18" name="Why This Matters"/>
    <x:tableColumn id="19" name="Can Skip Today?"/>
    <x:tableColumn id="20" name="Manual Notes"/>
    <x:tableColumn id="21" name="Last Review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8bba1f23434a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4224d9cba541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b322738acc45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b2b051efacd4d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6177a5b031fe45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1730570ce6bc4ea8" /><Relationship Type="http://schemas.openxmlformats.org/officeDocument/2006/relationships/table" Target="/xl/tables/table4.xml" Id="R4ae806afcb0f425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8" t="str">
        <x:v>AMOS Manual Data Input Sheet v0.1</x:v>
      </x:c>
      <x:c r="B1" t="str"/>
      <x:c r="C1" t="str"/>
      <x:c r="D1" t="str"/>
      <x:c r="E1" t="str"/>
      <x:c r="F1" t="str"/>
      <x:c r="G1" t="str"/>
      <x:c r="H1" t="str"/>
    </x:row>
    <x:row r="2">
      <x:c r="A2" s="26" t="str">
        <x:v>Current Phase</x:v>
      </x:c>
      <x:c r="B2" s="26" t="str">
        <x:v>v0.3A Manual Data Alpha</x:v>
      </x:c>
      <x:c r="C2" s="26" t="str">
        <x:v>Last Updated</x:v>
      </x:c>
      <x:c r="D2" s="26" t="str">
        <x:v>2026-05-24</x:v>
      </x:c>
      <x:c r="E2" s="26" t="str">
        <x:v>Tracked Tickers</x:v>
      </x:c>
      <x:c r="F2" s="26" t="n">
        <x:f>COUNTA('Manual Inputs'!B2:B200)</x:f>
        <x:v>10</x:v>
      </x:c>
      <x:c r="G2" s="26" t="str"/>
      <x:c r="H2" s="26" t="str"/>
    </x:row>
    <x:row r="3">
      <x:c r="A3" s="26" t="str">
        <x:v>Fresh Data</x:v>
      </x:c>
      <x:c r="B3" s="26" t="n">
        <x:f>COUNTIF('Manual Inputs'!AC2:AC200,"Fresh")</x:f>
        <x:v>0</x:v>
      </x:c>
      <x:c r="C3" s="26" t="str">
        <x:v>Missing Data</x:v>
      </x:c>
      <x:c r="D3" s="26" t="n">
        <x:f>COUNTIF('Manual Inputs'!AC2:AC200,"Missing")</x:f>
        <x:v>10</x:v>
      </x:c>
      <x:c r="E3" s="26" t="str">
        <x:v>Trim Watch</x:v>
      </x:c>
      <x:c r="F3" s="26" t="n">
        <x:f>COUNTIF('Manual Inputs'!AA2:AA200,"Trim Watch")</x:f>
        <x:v>1</x:v>
      </x:c>
      <x:c r="G3" s="26" t="str"/>
      <x:c r="H3" s="26" t="str"/>
    </x:row>
    <x:row r="4">
      <x:c r="A4" s="26" t="str">
        <x:v>Hold</x:v>
      </x:c>
      <x:c r="B4" s="26" t="n">
        <x:f>COUNTIF('Manual Inputs'!AA2:AA200,"Hold")</x:f>
        <x:v>5</x:v>
      </x:c>
      <x:c r="C4" s="26" t="str">
        <x:v>Wait</x:v>
      </x:c>
      <x:c r="D4" s="26" t="n">
        <x:f>COUNTIF('Manual Inputs'!AA2:AA200,"Wait")</x:f>
        <x:v>4</x:v>
      </x:c>
      <x:c r="E4" s="26" t="str">
        <x:v>Build</x:v>
      </x:c>
      <x:c r="F4" s="26" t="n">
        <x:f>COUNTIF('Manual Inputs'!AA2:AA200,"Build")</x:f>
        <x:v>0</x:v>
      </x:c>
      <x:c r="G4" s="26" t="str"/>
      <x:c r="H4" s="26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s="4" t="str">
        <x:v>Action</x:v>
      </x:c>
      <x:c r="B6" s="4" t="str">
        <x:v>Count</x:v>
      </x:c>
      <x:c r="C6" s="4" t="str">
        <x:v>Tickers</x:v>
      </x:c>
      <x:c r="D6" s="4" t="str"/>
      <x:c r="E6" s="4" t="str">
        <x:v>Data Quality</x:v>
      </x:c>
      <x:c r="F6" s="4" t="str">
        <x:v>Count</x:v>
      </x:c>
      <x:c r="G6" s="4" t="str"/>
      <x:c r="H6" s="4" t="str"/>
    </x:row>
    <x:row r="7">
      <x:c r="A7" t="str">
        <x:v>Attack</x:v>
      </x:c>
      <x:c r="B7" t="n">
        <x:f>COUNTIF('Manual Inputs'!AA2:AA200,"Attack")</x:f>
        <x:v>0</x:v>
      </x:c>
      <x:c r="C7" t="str">
        <x:f>TEXTJOIN(", ",TRUE,FILTER('Manual Inputs'!B2:B200,'Manual Inputs'!AA2:AA200="Attack",""))</x:f>
      </x:c>
      <x:c r="D7" t="str"/>
      <x:c r="E7" t="str">
        <x:v>Fresh</x:v>
      </x:c>
      <x:c r="F7" t="n">
        <x:f>COUNTIF('Manual Inputs'!AC2:AC200,"Fresh")</x:f>
        <x:v>0</x:v>
      </x:c>
      <x:c r="G7" t="str"/>
      <x:c r="H7" t="str"/>
    </x:row>
    <x:row r="8">
      <x:c r="A8" t="str">
        <x:v>Build</x:v>
      </x:c>
      <x:c r="B8" t="n">
        <x:f>COUNTIF('Manual Inputs'!AA2:AA200,"Build")</x:f>
        <x:v>0</x:v>
      </x:c>
      <x:c r="C8" t="str">
        <x:f>TEXTJOIN(", ",TRUE,FILTER('Manual Inputs'!B2:B200,'Manual Inputs'!AA2:AA200="Build",""))</x:f>
      </x:c>
      <x:c r="D8" t="str"/>
      <x:c r="E8" t="str">
        <x:v>Partial</x:v>
      </x:c>
      <x:c r="F8" t="n">
        <x:f>COUNTIF('Manual Inputs'!AC2:AC200,"Partial")</x:f>
        <x:v>0</x:v>
      </x:c>
      <x:c r="G8" t="str"/>
      <x:c r="H8" t="str"/>
    </x:row>
    <x:row r="9">
      <x:c r="A9" t="str">
        <x:v>Hold</x:v>
      </x:c>
      <x:c r="B9" t="n">
        <x:f>COUNTIF('Manual Inputs'!AA2:AA200,"Hold")</x:f>
        <x:v>5</x:v>
      </x:c>
      <x:c r="C9" t="str">
        <x:f>TEXTJOIN(", ",TRUE,FILTER('Manual Inputs'!B2:B200,'Manual Inputs'!AA2:AA200="Hold",""))</x:f>
        <x:v>NVDA, LITE, GOOG, MSFT, AVGO</x:v>
      </x:c>
      <x:c r="D9" t="str"/>
      <x:c r="E9" t="str">
        <x:v>Stale</x:v>
      </x:c>
      <x:c r="F9" t="n">
        <x:f>COUNTIF('Manual Inputs'!AC2:AC200,"Stale")</x:f>
        <x:v>0</x:v>
      </x:c>
      <x:c r="G9" t="str"/>
      <x:c r="H9" t="str"/>
    </x:row>
    <x:row r="10">
      <x:c r="A10" t="str">
        <x:v>Trim Watch</x:v>
      </x:c>
      <x:c r="B10" t="n">
        <x:f>COUNTIF('Manual Inputs'!AA2:AA200,"Trim Watch")</x:f>
        <x:v>1</x:v>
      </x:c>
      <x:c r="C10" t="str">
        <x:f>TEXTJOIN(", ",TRUE,FILTER('Manual Inputs'!B2:B200,'Manual Inputs'!AA2:AA200="Trim Watch",""))</x:f>
        <x:v>CRDO</x:v>
      </x:c>
      <x:c r="D10" t="str"/>
      <x:c r="E10" t="str">
        <x:v>Missing</x:v>
      </x:c>
      <x:c r="F10" t="n">
        <x:f>COUNTIF('Manual Inputs'!AC2:AC200,"Missing")</x:f>
        <x:v>10</x:v>
      </x:c>
      <x:c r="G10" t="str"/>
      <x:c r="H10" t="str"/>
    </x:row>
    <x:row r="11">
      <x:c r="A11" t="str">
        <x:v>Exit</x:v>
      </x:c>
      <x:c r="B11" t="n">
        <x:f>COUNTIF('Manual Inputs'!AA2:AA200,"Exit")</x:f>
        <x:v>0</x:v>
      </x:c>
      <x:c r="C11" t="str">
        <x:f>TEXTJOIN(", ",TRUE,FILTER('Manual Inputs'!B2:B200,'Manual Inputs'!AA2:AA200="Exit",""))</x:f>
      </x:c>
      <x:c r="D11" t="str"/>
      <x:c r="E11" t="str"/>
      <x:c r="F11" t="str"/>
      <x:c r="G11" t="str"/>
      <x:c r="H11" t="str"/>
    </x:row>
    <x:row r="12">
      <x:c r="A12" t="str">
        <x:v>Wait</x:v>
      </x:c>
      <x:c r="B12" t="n">
        <x:f>COUNTIF('Manual Inputs'!AA2:AA200,"Wait")</x:f>
        <x:v>4</x:v>
      </x:c>
      <x:c r="C12" t="str">
        <x:f>TEXTJOIN(", ",TRUE,FILTER('Manual Inputs'!B2:B200,'Manual Inputs'!AA2:AA200="Wait",""))</x:f>
        <x:v>IREN, HOOD, RKLB, IONQ</x:v>
      </x:c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s="31" t="str">
        <x:v>Immediate Workflow</x:v>
      </x:c>
      <x:c r="B14" s="14" t="str">
        <x:v>1. Update Manual Inputs. 2. Mark Ticker Checklist. 3. Add Evidence Log. 4. Read Daily Brief Packet. 5. Act only with invalidation.</x:v>
      </x:c>
      <x:c r="C14" s="14" t="str"/>
      <x:c r="D14" s="14" t="str"/>
      <x:c r="E14" s="14" t="str"/>
      <x:c r="F14" s="14" t="str"/>
      <x:c r="G14" s="14" t="str"/>
      <x:c r="H14" s="14" t="str"/>
    </x:row>
  </x:sheetData>
  <x:mergeCells>
    <x:mergeCell ref="A1:H1"/>
    <x:mergeCell ref="A14:H14"/>
  </x:mergeCells>
  <x:pageMargins left="0.7" right="0.7" top="0.75" bottom="0.75" header="0.3" footer="0.3"/>
  <x:drawing xmlns:r="http://schemas.openxmlformats.org/officeDocument/2006/relationships" r:id="Rd88bba1f23434a4b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1" hidden="0" customWidth="1"/>
    <x:col min="8" max="8" width="11" hidden="0" customWidth="1"/>
    <x:col min="9" max="9" width="10" hidden="0" customWidth="1"/>
    <x:col min="10" max="10" width="15" hidden="0" customWidth="1"/>
    <x:col min="11" max="11" width="15" hidden="0" customWidth="1"/>
    <x:col min="12" max="12" width="15" hidden="0" customWidth="1"/>
    <x:col min="13" max="13" width="12" hidden="0" customWidth="1"/>
    <x:col min="14" max="14" width="12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34" hidden="0" customWidth="1"/>
    <x:col min="29" max="29" width="13" hidden="0" customWidth="1"/>
    <x:col min="30" max="30" width="30" hidden="0" customWidth="1"/>
  </x:cols>
  <x:sheetData>
    <x:row r="1">
      <x:c r="A1" s="10" t="str">
        <x:v>Date</x:v>
      </x:c>
      <x:c r="B1" s="10" t="str">
        <x:v>Ticker</x:v>
      </x:c>
      <x:c r="C1" s="10" t="str">
        <x:v>Company</x:v>
      </x:c>
      <x:c r="D1" s="10" t="str">
        <x:v>Role</x:v>
      </x:c>
      <x:c r="E1" s="10" t="str">
        <x:v>Position $</x:v>
      </x:c>
      <x:c r="F1" s="10" t="str">
        <x:v>Position %</x:v>
      </x:c>
      <x:c r="G1" s="10" t="str">
        <x:v>Last Price</x:v>
      </x:c>
      <x:c r="H1" s="10" t="str">
        <x:v>Day %</x:v>
      </x:c>
      <x:c r="I1" s="10" t="str">
        <x:v>RSI 14D</x:v>
      </x:c>
      <x:c r="J1" s="10" t="str">
        <x:v>8 EMA State</x:v>
      </x:c>
      <x:c r="K1" s="10" t="str">
        <x:v>12 EMA State</x:v>
      </x:c>
      <x:c r="L1" s="10" t="str">
        <x:v>Trend Structure</x:v>
      </x:c>
      <x:c r="M1" s="10" t="str">
        <x:v>RS vs QQQ</x:v>
      </x:c>
      <x:c r="N1" s="10" t="str">
        <x:v>RS vs Peers</x:v>
      </x:c>
      <x:c r="O1" s="10" t="str">
        <x:v>AVWAP Status</x:v>
      </x:c>
      <x:c r="P1" s="10" t="str">
        <x:v>Gann Zone</x:v>
      </x:c>
      <x:c r="Q1" s="10" t="str">
        <x:v>Nearest Gann Support</x:v>
      </x:c>
      <x:c r="R1" s="10" t="str">
        <x:v>Nearest Gann Resistance</x:v>
      </x:c>
      <x:c r="S1" s="10" t="str">
        <x:v>Next Event</x:v>
      </x:c>
      <x:c r="T1" s="10" t="str">
        <x:v>Event Pressure 0-100</x:v>
      </x:c>
      <x:c r="U1" s="10" t="str">
        <x:v>Narrative</x:v>
      </x:c>
      <x:c r="V1" s="10" t="str">
        <x:v>Narrative Strength 0-100</x:v>
      </x:c>
      <x:c r="W1" s="10" t="str">
        <x:v>Narrative Maturity 0-100</x:v>
      </x:c>
      <x:c r="X1" s="10" t="str">
        <x:v>Valuation State</x:v>
      </x:c>
      <x:c r="Y1" s="10" t="str">
        <x:v>Risk Stack 0-100</x:v>
      </x:c>
      <x:c r="Z1" s="10" t="str">
        <x:v>Panic Maturity 0-100</x:v>
      </x:c>
      <x:c r="AA1" s="10" t="str">
        <x:v>Action Bias</x:v>
      </x:c>
      <x:c r="AB1" s="10" t="str">
        <x:v>Invalidation</x:v>
      </x:c>
      <x:c r="AC1" s="10" t="str">
        <x:v>Data Freshness</x:v>
      </x:c>
      <x:c r="AD1" s="10" t="str">
        <x:v>Notes</x:v>
      </x:c>
    </x:row>
    <x:row r="2">
      <x:c r="A2" s="14" t="str">
        <x:v>2026-05-24</x:v>
      </x:c>
      <x:c r="B2" s="14" t="str">
        <x:v>NVDA</x:v>
      </x:c>
      <x:c r="C2" s="14" t="str">
        <x:v>NVIDIA</x:v>
      </x:c>
      <x:c r="D2" s="14" t="str">
        <x:v>Core</x:v>
      </x:c>
      <x:c r="E2" s="14" t="str"/>
      <x:c r="F2" s="14" t="str"/>
      <x:c r="G2" s="14" t="str"/>
      <x:c r="H2" s="14" t="str"/>
      <x:c r="I2" s="14" t="str"/>
      <x:c r="J2" s="14" t="str">
        <x:v>Unknown</x:v>
      </x:c>
      <x:c r="K2" s="14" t="str">
        <x:v>Unknown</x:v>
      </x:c>
      <x:c r="L2" s="14" t="str">
        <x:v>Unclear</x:v>
      </x:c>
      <x:c r="M2" s="14" t="str"/>
      <x:c r="N2" s="14" t="str"/>
      <x:c r="O2" s="14" t="str">
        <x:v>Unknown</x:v>
      </x:c>
      <x:c r="P2" s="14" t="str">
        <x:v>Unknown</x:v>
      </x:c>
      <x:c r="Q2" s="14" t="str"/>
      <x:c r="R2" s="14" t="str"/>
      <x:c r="S2" s="14" t="str">
        <x:v>NVDA / AI Infra read-through</x:v>
      </x:c>
      <x:c r="T2" s="14" t="str"/>
      <x:c r="U2" s="14" t="str">
        <x:v>AI_INFRA</x:v>
      </x:c>
      <x:c r="V2" s="14" t="str"/>
      <x:c r="W2" s="14" t="str"/>
      <x:c r="X2" s="14" t="str">
        <x:v>demanding_but_supported_by_growth</x:v>
      </x:c>
      <x:c r="Y2" s="14" t="str"/>
      <x:c r="Z2" s="14" t="str"/>
      <x:c r="AA2" s="14" t="str">
        <x:v>Hold</x:v>
      </x:c>
      <x:c r="AB2" s="14" t="str">
        <x:v>Fails post-event AVWAP / AI CapEx weakens / RS deteriorates</x:v>
      </x:c>
      <x:c r="AC2" s="14" t="str">
        <x:v>Missing</x:v>
      </x:c>
      <x:c r="AD2" s="14" t="str"/>
    </x:row>
    <x:row r="3">
      <x:c r="A3" s="14" t="str">
        <x:v>2026-05-24</x:v>
      </x:c>
      <x:c r="B3" s="14" t="str">
        <x:v>CRDO</x:v>
      </x:c>
      <x:c r="C3" s="14" t="str">
        <x:v>Credo Technology</x:v>
      </x:c>
      <x:c r="D3" s="14" t="str">
        <x:v>Swing</x:v>
      </x:c>
      <x:c r="E3" s="14" t="str"/>
      <x:c r="F3" s="14" t="str"/>
      <x:c r="G3" s="14" t="str"/>
      <x:c r="H3" s="14" t="str"/>
      <x:c r="I3" s="14" t="str"/>
      <x:c r="J3" s="14" t="str">
        <x:v>Unknown</x:v>
      </x:c>
      <x:c r="K3" s="14" t="str">
        <x:v>Unknown</x:v>
      </x:c>
      <x:c r="L3" s="14" t="str">
        <x:v>Unclear</x:v>
      </x:c>
      <x:c r="M3" s="14" t="str"/>
      <x:c r="N3" s="14" t="str"/>
      <x:c r="O3" s="14" t="str">
        <x:v>Unknown</x:v>
      </x:c>
      <x:c r="P3" s="14" t="str">
        <x:v>Unknown</x:v>
      </x:c>
      <x:c r="Q3" s="14" t="str"/>
      <x:c r="R3" s="14" t="str"/>
      <x:c r="S3" s="14" t="str">
        <x:v>AI Infra / Optical events</x:v>
      </x:c>
      <x:c r="T3" s="14" t="str"/>
      <x:c r="U3" s="14" t="str">
        <x:v>OPTICAL</x:v>
      </x:c>
      <x:c r="V3" s="14" t="str"/>
      <x:c r="W3" s="14" t="str"/>
      <x:c r="X3" s="14" t="str">
        <x:v>demanding</x:v>
      </x:c>
      <x:c r="Y3" s="14" t="str"/>
      <x:c r="Z3" s="14" t="str"/>
      <x:c r="AA3" s="14" t="str">
        <x:v>Trim Watch</x:v>
      </x:c>
      <x:c r="AB3" s="14" t="str">
        <x:v>Breaks AVWAP / loses RS / revisions down</x:v>
      </x:c>
      <x:c r="AC3" s="14" t="str">
        <x:v>Missing</x:v>
      </x:c>
      <x:c r="AD3" s="14" t="str"/>
    </x:row>
    <x:row r="4">
      <x:c r="A4" s="14" t="str">
        <x:v>2026-05-24</x:v>
      </x:c>
      <x:c r="B4" s="14" t="str">
        <x:v>LITE</x:v>
      </x:c>
      <x:c r="C4" s="14" t="str">
        <x:v>Lumentum</x:v>
      </x:c>
      <x:c r="D4" s="14" t="str">
        <x:v>Swing</x:v>
      </x:c>
      <x:c r="E4" s="14" t="str"/>
      <x:c r="F4" s="14" t="str"/>
      <x:c r="G4" s="14" t="str"/>
      <x:c r="H4" s="14" t="str"/>
      <x:c r="I4" s="14" t="str"/>
      <x:c r="J4" s="14" t="str">
        <x:v>Unknown</x:v>
      </x:c>
      <x:c r="K4" s="14" t="str">
        <x:v>Unknown</x:v>
      </x:c>
      <x:c r="L4" s="14" t="str">
        <x:v>Unclear</x:v>
      </x:c>
      <x:c r="M4" s="14" t="str"/>
      <x:c r="N4" s="14" t="str"/>
      <x:c r="O4" s="14" t="str">
        <x:v>Unknown</x:v>
      </x:c>
      <x:c r="P4" s="14" t="str">
        <x:v>Unknown</x:v>
      </x:c>
      <x:c r="Q4" s="14" t="str"/>
      <x:c r="R4" s="14" t="str"/>
      <x:c r="S4" s="14" t="str">
        <x:v>Optical peer follow-through</x:v>
      </x:c>
      <x:c r="T4" s="14" t="str"/>
      <x:c r="U4" s="14" t="str">
        <x:v>OPTICAL</x:v>
      </x:c>
      <x:c r="V4" s="14" t="str"/>
      <x:c r="W4" s="14" t="str"/>
      <x:c r="X4" s="14" t="str">
        <x:v>recovery_discount_or_trap_requires_evidence</x:v>
      </x:c>
      <x:c r="Y4" s="14" t="str"/>
      <x:c r="Z4" s="14" t="str"/>
      <x:c r="AA4" s="14" t="str">
        <x:v>Hold</x:v>
      </x:c>
      <x:c r="AB4" s="14" t="str">
        <x:v>Optical strong but LITE underperforms peers / guidance weakens</x:v>
      </x:c>
      <x:c r="AC4" s="14" t="str">
        <x:v>Missing</x:v>
      </x:c>
      <x:c r="AD4" s="14" t="str"/>
    </x:row>
    <x:row r="5">
      <x:c r="A5" s="14" t="str">
        <x:v>2026-05-24</x:v>
      </x:c>
      <x:c r="B5" s="14" t="str">
        <x:v>IREN</x:v>
      </x:c>
      <x:c r="C5" s="14" t="str">
        <x:v>IREN</x:v>
      </x:c>
      <x:c r="D5" s="14" t="str">
        <x:v>Tactical</x:v>
      </x:c>
      <x:c r="E5" s="14" t="str"/>
      <x:c r="F5" s="14" t="str"/>
      <x:c r="G5" s="14" t="str"/>
      <x:c r="H5" s="14" t="str"/>
      <x:c r="I5" s="14" t="str"/>
      <x:c r="J5" s="14" t="str">
        <x:v>Unknown</x:v>
      </x:c>
      <x:c r="K5" s="14" t="str">
        <x:v>Unknown</x:v>
      </x:c>
      <x:c r="L5" s="14" t="str">
        <x:v>Unclear</x:v>
      </x:c>
      <x:c r="M5" s="14" t="str"/>
      <x:c r="N5" s="14" t="str"/>
      <x:c r="O5" s="14" t="str">
        <x:v>Unknown</x:v>
      </x:c>
      <x:c r="P5" s="14" t="str">
        <x:v>Unknown</x:v>
      </x:c>
      <x:c r="Q5" s="14" t="str"/>
      <x:c r="R5" s="14" t="str"/>
      <x:c r="S5" s="14" t="str">
        <x:v>BTC / AI Compute reset</x:v>
      </x:c>
      <x:c r="T5" s="14" t="str"/>
      <x:c r="U5" s="14" t="str">
        <x:v>BTC_FINANCE</x:v>
      </x:c>
      <x:c r="V5" s="14" t="str"/>
      <x:c r="W5" s="14" t="str"/>
      <x:c r="X5" s="14" t="str">
        <x:v>transition_story_requires_validation</x:v>
      </x:c>
      <x:c r="Y5" s="14" t="str"/>
      <x:c r="Z5" s="14" t="str"/>
      <x:c r="AA5" s="14" t="str">
        <x:v>Wait</x:v>
      </x:c>
      <x:c r="AB5" s="14" t="str">
        <x:v>BTC loses structure / AI compute thesis weakens / dilution risk rises</x:v>
      </x:c>
      <x:c r="AC5" s="14" t="str">
        <x:v>Missing</x:v>
      </x:c>
      <x:c r="AD5" s="14" t="str"/>
    </x:row>
    <x:row r="6">
      <x:c r="A6" s="14" t="str">
        <x:v>2026-05-24</x:v>
      </x:c>
      <x:c r="B6" s="14" t="str">
        <x:v>HOOD</x:v>
      </x:c>
      <x:c r="C6" s="14" t="str">
        <x:v>Robinhood</x:v>
      </x:c>
      <x:c r="D6" s="14" t="str">
        <x:v>Research</x:v>
      </x:c>
      <x:c r="E6" s="14" t="str"/>
      <x:c r="F6" s="14" t="str"/>
      <x:c r="G6" s="14" t="str"/>
      <x:c r="H6" s="14" t="str"/>
      <x:c r="I6" s="14" t="str"/>
      <x:c r="J6" s="14" t="str">
        <x:v>Unknown</x:v>
      </x:c>
      <x:c r="K6" s="14" t="str">
        <x:v>Unknown</x:v>
      </x:c>
      <x:c r="L6" s="14" t="str">
        <x:v>Unclear</x:v>
      </x:c>
      <x:c r="M6" s="14" t="str"/>
      <x:c r="N6" s="14" t="str"/>
      <x:c r="O6" s="14" t="str">
        <x:v>Unknown</x:v>
      </x:c>
      <x:c r="P6" s="14" t="str">
        <x:v>Unknown</x:v>
      </x:c>
      <x:c r="Q6" s="14" t="str"/>
      <x:c r="R6" s="14" t="str"/>
      <x:c r="S6" s="14" t="str">
        <x:v>BTC Finance / retail activity</x:v>
      </x:c>
      <x:c r="T6" s="14" t="str"/>
      <x:c r="U6" s="14" t="str">
        <x:v>BTC_FINANCE</x:v>
      </x:c>
      <x:c r="V6" s="14" t="str"/>
      <x:c r="W6" s="14" t="str"/>
      <x:c r="X6" s="14" t="str">
        <x:v>growth_fintech_requires_volume_cycle</x:v>
      </x:c>
      <x:c r="Y6" s="14" t="str"/>
      <x:c r="Z6" s="14" t="str"/>
      <x:c r="AA6" s="14" t="str">
        <x:v>Wait</x:v>
      </x:c>
      <x:c r="AB6" s="14" t="str">
        <x:v>Regulatory pressure expands / BTC remains liquidation regime</x:v>
      </x:c>
      <x:c r="AC6" s="14" t="str">
        <x:v>Missing</x:v>
      </x:c>
      <x:c r="AD6" s="14" t="str"/>
    </x:row>
    <x:row r="7">
      <x:c r="A7" s="14" t="str">
        <x:v>2026-05-24</x:v>
      </x:c>
      <x:c r="B7" s="14" t="str">
        <x:v>GOOG</x:v>
      </x:c>
      <x:c r="C7" s="14" t="str">
        <x:v>Alphabet</x:v>
      </x:c>
      <x:c r="D7" s="14" t="str">
        <x:v>Core</x:v>
      </x:c>
      <x:c r="E7" s="14" t="str"/>
      <x:c r="F7" s="14" t="str"/>
      <x:c r="G7" s="14" t="str"/>
      <x:c r="H7" s="14" t="str"/>
      <x:c r="I7" s="14" t="str"/>
      <x:c r="J7" s="14" t="str">
        <x:v>Unknown</x:v>
      </x:c>
      <x:c r="K7" s="14" t="str">
        <x:v>Unknown</x:v>
      </x:c>
      <x:c r="L7" s="14" t="str">
        <x:v>Unclear</x:v>
      </x:c>
      <x:c r="M7" s="14" t="str"/>
      <x:c r="N7" s="14" t="str"/>
      <x:c r="O7" s="14" t="str">
        <x:v>Unknown</x:v>
      </x:c>
      <x:c r="P7" s="14" t="str">
        <x:v>Unknown</x:v>
      </x:c>
      <x:c r="Q7" s="14" t="str"/>
      <x:c r="R7" s="14" t="str"/>
      <x:c r="S7" s="14" t="str">
        <x:v>Big Tech / AI / ad cycle</x:v>
      </x:c>
      <x:c r="T7" s="14" t="str"/>
      <x:c r="U7" s="14" t="str">
        <x:v>AI_INFRA</x:v>
      </x:c>
      <x:c r="V7" s="14" t="str"/>
      <x:c r="W7" s="14" t="str"/>
      <x:c r="X7" s="14" t="str">
        <x:v>reasonable_or_unknown</x:v>
      </x:c>
      <x:c r="Y7" s="14" t="str"/>
      <x:c r="Z7" s="14" t="str"/>
      <x:c r="AA7" s="14" t="str">
        <x:v>Hold</x:v>
      </x:c>
      <x:c r="AB7" s="14" t="str">
        <x:v>Cloud/AI capex thesis weakens / RS deteriorates</x:v>
      </x:c>
      <x:c r="AC7" s="14" t="str">
        <x:v>Missing</x:v>
      </x:c>
      <x:c r="AD7" s="14" t="str"/>
    </x:row>
    <x:row r="8">
      <x:c r="A8" s="14" t="str">
        <x:v>2026-05-24</x:v>
      </x:c>
      <x:c r="B8" s="14" t="str">
        <x:v>MSFT</x:v>
      </x:c>
      <x:c r="C8" s="14" t="str">
        <x:v>Microsoft</x:v>
      </x:c>
      <x:c r="D8" s="14" t="str">
        <x:v>Core</x:v>
      </x:c>
      <x:c r="E8" s="14" t="str"/>
      <x:c r="F8" s="14" t="str"/>
      <x:c r="G8" s="14" t="str"/>
      <x:c r="H8" s="14" t="str"/>
      <x:c r="I8" s="14" t="str"/>
      <x:c r="J8" s="14" t="str">
        <x:v>Unknown</x:v>
      </x:c>
      <x:c r="K8" s="14" t="str">
        <x:v>Unknown</x:v>
      </x:c>
      <x:c r="L8" s="14" t="str">
        <x:v>Unclear</x:v>
      </x:c>
      <x:c r="M8" s="14" t="str"/>
      <x:c r="N8" s="14" t="str"/>
      <x:c r="O8" s="14" t="str">
        <x:v>Unknown</x:v>
      </x:c>
      <x:c r="P8" s="14" t="str">
        <x:v>Unknown</x:v>
      </x:c>
      <x:c r="Q8" s="14" t="str"/>
      <x:c r="R8" s="14" t="str"/>
      <x:c r="S8" s="14" t="str">
        <x:v>AI CapEx / Cloud</x:v>
      </x:c>
      <x:c r="T8" s="14" t="str"/>
      <x:c r="U8" s="14" t="str">
        <x:v>AI_INFRA</x:v>
      </x:c>
      <x:c r="V8" s="14" t="str"/>
      <x:c r="W8" s="14" t="str"/>
      <x:c r="X8" s="14" t="str">
        <x:v>premium_quality</x:v>
      </x:c>
      <x:c r="Y8" s="14" t="str"/>
      <x:c r="Z8" s="14" t="str"/>
      <x:c r="AA8" s="14" t="str">
        <x:v>Hold</x:v>
      </x:c>
      <x:c r="AB8" s="14" t="str">
        <x:v>Azure/AI capex weakens / margin pressure</x:v>
      </x:c>
      <x:c r="AC8" s="14" t="str">
        <x:v>Missing</x:v>
      </x:c>
      <x:c r="AD8" s="14" t="str"/>
    </x:row>
    <x:row r="9">
      <x:c r="A9" s="14" t="str">
        <x:v>2026-05-24</x:v>
      </x:c>
      <x:c r="B9" s="14" t="str">
        <x:v>AVGO</x:v>
      </x:c>
      <x:c r="C9" s="14" t="str">
        <x:v>Broadcom</x:v>
      </x:c>
      <x:c r="D9" s="14" t="str">
        <x:v>Core</x:v>
      </x:c>
      <x:c r="E9" s="14" t="str"/>
      <x:c r="F9" s="14" t="str"/>
      <x:c r="G9" s="14" t="str"/>
      <x:c r="H9" s="14" t="str"/>
      <x:c r="I9" s="14" t="str"/>
      <x:c r="J9" s="14" t="str">
        <x:v>Unknown</x:v>
      </x:c>
      <x:c r="K9" s="14" t="str">
        <x:v>Unknown</x:v>
      </x:c>
      <x:c r="L9" s="14" t="str">
        <x:v>Unclear</x:v>
      </x:c>
      <x:c r="M9" s="14" t="str"/>
      <x:c r="N9" s="14" t="str"/>
      <x:c r="O9" s="14" t="str">
        <x:v>Unknown</x:v>
      </x:c>
      <x:c r="P9" s="14" t="str">
        <x:v>Unknown</x:v>
      </x:c>
      <x:c r="Q9" s="14" t="str"/>
      <x:c r="R9" s="14" t="str"/>
      <x:c r="S9" s="14" t="str">
        <x:v>AI ASIC / networking</x:v>
      </x:c>
      <x:c r="T9" s="14" t="str"/>
      <x:c r="U9" s="14" t="str">
        <x:v>AI_INFRA</x:v>
      </x:c>
      <x:c r="V9" s="14" t="str"/>
      <x:c r="W9" s="14" t="str"/>
      <x:c r="X9" s="14" t="str">
        <x:v>demanding_quality</x:v>
      </x:c>
      <x:c r="Y9" s="14" t="str"/>
      <x:c r="Z9" s="14" t="str"/>
      <x:c r="AA9" s="14" t="str">
        <x:v>Hold</x:v>
      </x:c>
      <x:c r="AB9" s="14" t="str">
        <x:v>AI ASIC demand weakens / RS deteriorates</x:v>
      </x:c>
      <x:c r="AC9" s="14" t="str">
        <x:v>Missing</x:v>
      </x:c>
      <x:c r="AD9" s="14" t="str"/>
    </x:row>
    <x:row r="10">
      <x:c r="A10" s="14" t="str">
        <x:v>2026-05-24</x:v>
      </x:c>
      <x:c r="B10" s="14" t="str">
        <x:v>RKLB</x:v>
      </x:c>
      <x:c r="C10" s="14" t="str">
        <x:v>Rocket Lab</x:v>
      </x:c>
      <x:c r="D10" s="14" t="str">
        <x:v>Tactical</x:v>
      </x:c>
      <x:c r="E10" s="14" t="str"/>
      <x:c r="F10" s="14" t="str"/>
      <x:c r="G10" s="14" t="str"/>
      <x:c r="H10" s="14" t="str"/>
      <x:c r="I10" s="14" t="str"/>
      <x:c r="J10" s="14" t="str">
        <x:v>Unknown</x:v>
      </x:c>
      <x:c r="K10" s="14" t="str">
        <x:v>Unknown</x:v>
      </x:c>
      <x:c r="L10" s="14" t="str">
        <x:v>Unclear</x:v>
      </x:c>
      <x:c r="M10" s="14" t="str"/>
      <x:c r="N10" s="14" t="str"/>
      <x:c r="O10" s="14" t="str">
        <x:v>Unknown</x:v>
      </x:c>
      <x:c r="P10" s="14" t="str">
        <x:v>Unknown</x:v>
      </x:c>
      <x:c r="Q10" s="14" t="str"/>
      <x:c r="R10" s="14" t="str"/>
      <x:c r="S10" s="14" t="str">
        <x:v>Space theme</x:v>
      </x:c>
      <x:c r="T10" s="14" t="str"/>
      <x:c r="U10" s="14" t="str">
        <x:v>SPACE</x:v>
      </x:c>
      <x:c r="V10" s="14" t="str"/>
      <x:c r="W10" s="14" t="str"/>
      <x:c r="X10" s="14" t="str">
        <x:v>theme_expansion</x:v>
      </x:c>
      <x:c r="Y10" s="14" t="str"/>
      <x:c r="Z10" s="14" t="str"/>
      <x:c r="AA10" s="14" t="str">
        <x:v>Wait</x:v>
      </x:c>
      <x:c r="AB10" s="14" t="str">
        <x:v>Space theme fades / failed breakout</x:v>
      </x:c>
      <x:c r="AC10" s="14" t="str">
        <x:v>Missing</x:v>
      </x:c>
      <x:c r="AD10" s="14" t="str"/>
    </x:row>
    <x:row r="11">
      <x:c r="A11" s="14" t="str">
        <x:v>2026-05-24</x:v>
      </x:c>
      <x:c r="B11" s="14" t="str">
        <x:v>IONQ</x:v>
      </x:c>
      <x:c r="C11" s="14" t="str">
        <x:v>IonQ</x:v>
      </x:c>
      <x:c r="D11" s="14" t="str">
        <x:v>Tactical</x:v>
      </x:c>
      <x:c r="E11" s="14" t="str"/>
      <x:c r="F11" s="14" t="str"/>
      <x:c r="G11" s="14" t="str"/>
      <x:c r="H11" s="14" t="str"/>
      <x:c r="I11" s="14" t="str"/>
      <x:c r="J11" s="14" t="str">
        <x:v>Unknown</x:v>
      </x:c>
      <x:c r="K11" s="14" t="str">
        <x:v>Unknown</x:v>
      </x:c>
      <x:c r="L11" s="14" t="str">
        <x:v>Unclear</x:v>
      </x:c>
      <x:c r="M11" s="14" t="str"/>
      <x:c r="N11" s="14" t="str"/>
      <x:c r="O11" s="14" t="str">
        <x:v>Unknown</x:v>
      </x:c>
      <x:c r="P11" s="14" t="str">
        <x:v>Unknown</x:v>
      </x:c>
      <x:c r="Q11" s="14" t="str"/>
      <x:c r="R11" s="14" t="str"/>
      <x:c r="S11" s="14" t="str">
        <x:v>Quantum theme</x:v>
      </x:c>
      <x:c r="T11" s="14" t="str"/>
      <x:c r="U11" s="14" t="str">
        <x:v>QUANTUM</x:v>
      </x:c>
      <x:c r="V11" s="14" t="str"/>
      <x:c r="W11" s="14" t="str"/>
      <x:c r="X11" s="14" t="str">
        <x:v>speculative_theme</x:v>
      </x:c>
      <x:c r="Y11" s="14" t="str"/>
      <x:c r="Z11" s="14" t="str"/>
      <x:c r="AA11" s="14" t="str">
        <x:v>Wait</x:v>
      </x:c>
      <x:c r="AB11" s="14" t="str">
        <x:v>Quantum theme fades / tail-chase without leaders</x:v>
      </x:c>
      <x:c r="AC11" s="14" t="str">
        <x:v>Missing</x:v>
      </x:c>
      <x:c r="AD11" s="14" t="str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  <x:c r="AD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  <x:c r="AD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  <x:c r="AD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/>
      <x:c r="AD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  <x:c r="AD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/>
      <x:c r="AD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/>
      <x:c r="AD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/>
      <x:c r="AD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4"/>
      <x:c r="AD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  <x:c r="AD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  <x:c r="AD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/>
      <x:c r="AC34" s="14"/>
      <x:c r="AD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/>
      <x:c r="AD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/>
      <x:c r="AD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/>
      <x:c r="AD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/>
      <x:c r="AD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  <x:c r="AD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  <x:c r="AD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/>
      <x:c r="AD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  <x:c r="AA45" s="14"/>
      <x:c r="AB45" s="14"/>
      <x:c r="AC45" s="14"/>
      <x:c r="AD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/>
      <x:c r="AD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4"/>
      <x:c r="AD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/>
      <x:c r="AD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4"/>
      <x:c r="AD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/>
      <x:c r="AD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  <x:c r="AA51" s="14"/>
      <x:c r="AB51" s="14"/>
      <x:c r="AC51" s="14"/>
      <x:c r="AD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  <x:c r="AA52" s="14"/>
      <x:c r="AB52" s="14"/>
      <x:c r="AC52" s="14"/>
      <x:c r="AD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  <x:c r="AA53" s="14"/>
      <x:c r="AB53" s="14"/>
      <x:c r="AC53" s="14"/>
      <x:c r="AD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  <x:c r="AA54" s="14"/>
      <x:c r="AB54" s="14"/>
      <x:c r="AC54" s="14"/>
      <x:c r="AD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  <x:c r="AA55" s="14"/>
      <x:c r="AB55" s="14"/>
      <x:c r="AC55" s="14"/>
      <x:c r="AD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/>
      <x:c r="AC56" s="14"/>
      <x:c r="AD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/>
      <x:c r="AC57" s="14"/>
      <x:c r="AD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  <x:c r="AA58" s="14"/>
      <x:c r="AB58" s="14"/>
      <x:c r="AC58" s="14"/>
      <x:c r="AD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/>
      <x:c r="AC59" s="14"/>
      <x:c r="AD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/>
      <x:c r="AC60" s="14"/>
      <x:c r="AD60" s="14"/>
    </x:row>
  </x:sheetData>
  <x:conditionalFormatting sqref="I2:I200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T2:T200">
    <x:cfRule type="dataBar" priority="2">
      <x:dataBar>
        <x:cfvo type="min"/>
        <x:cfvo type="max"/>
        <x:color rgb="FFD166"/>
      </x:dataBar>
      <x:extLst>
        <x:ext xmlns:x14="http://schemas.microsoft.com/office/spreadsheetml/2009/9/main" uri="{B025F937-C7B1-47D3-B67F-A62EFF666E3E}">
          <x14:id>{D881E7A1-2CCF-DE36-6023-EF199397555A}</x14:id>
        </x:ext>
      </x:extLst>
    </x:cfRule>
  </x:conditionalFormatting>
  <x:conditionalFormatting sqref="V2:Z200">
    <x:cfRule type="dataBar" priority="3">
      <x:dataBar>
        <x:cfvo type="min"/>
        <x:cfvo type="max"/>
        <x:color rgb="23D9FF"/>
      </x:dataBar>
      <x:extLst>
        <x:ext xmlns:x14="http://schemas.microsoft.com/office/spreadsheetml/2009/9/main" uri="{B025F937-C7B1-47D3-B67F-A62EFF666E3E}">
          <x14:id>{6A7B6D00-F197-FB58-DAA2-00D14C0F980F}</x14:id>
        </x:ext>
      </x:extLst>
    </x:cfRule>
  </x:conditionalFormatting>
  <x:dataValidations count="7">
    <x:dataValidation type="list" sqref="D2:D200">
      <x:formula1>Lists!$B$2:$B$6</x:formula1>
    </x:dataValidation>
    <x:dataValidation type="list" sqref="J2:L200">
      <x:formula1>"Above,Below,Crossing Up,Crossing Down,Unknown"</x:formula1>
    </x:dataValidation>
    <x:dataValidation type="list" sqref="O2:O200">
      <x:formula1>Lists!$D$2:$D$6</x:formula1>
    </x:dataValidation>
    <x:dataValidation type="list" sqref="P2:P200">
      <x:formula1>Lists!$E$2:$E$5</x:formula1>
    </x:dataValidation>
    <x:dataValidation type="list" sqref="U2:U200">
      <x:formula1>Lists!$I$2:$I$7</x:formula1>
    </x:dataValidation>
    <x:dataValidation type="list" sqref="AA2:AA200">
      <x:formula1>Lists!$A$2:$A$7</x:formula1>
    </x:dataValidation>
    <x:dataValidation type="list" sqref="AC2:AC200">
      <x:formula1>Lists!$G$2:$G$5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4224d9cba5414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881E7A1-2CCF-DE36-6023-EF199397555A}">
            <x14:dataBar gradient="1">
              <x14:cfvo type="min"/>
              <x14:cfvo type="max"/>
              <x14:fillColor rgb="FFD166"/>
            </x14:dataBar>
          </x14:cfRule>
          <xm:sqref>T2:T200</xm:sqref>
        </x14:conditionalFormatting>
        <x14:conditionalFormatting>
          <x14:cfRule type="dataBar" priority="3" id="{6A7B6D00-F197-FB58-DAA2-00D14C0F980F}">
            <x14:dataBar gradient="1">
              <x14:cfvo type="min"/>
              <x14:cfvo type="max"/>
              <x14:fillColor rgb="23D9FF"/>
            </x14:dataBar>
          </x14:cfRule>
          <xm:sqref>V2:Z200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2" hidden="0" customWidth="1"/>
  </x:cols>
  <x:sheetData>
    <x:row r="1">
      <x:c r="A1" s="4" t="str">
        <x:v>Ticker</x:v>
      </x:c>
      <x:c r="B1" s="4" t="str">
        <x:v>Must Update?</x:v>
      </x:c>
      <x:c r="C1" s="4" t="str">
        <x:v>Price</x:v>
      </x:c>
      <x:c r="D1" s="4" t="str">
        <x:v>RSI</x:v>
      </x:c>
      <x:c r="E1" s="4" t="str">
        <x:v>EMA 8/12</x:v>
      </x:c>
      <x:c r="F1" s="4" t="str">
        <x:v>AVWAP</x:v>
      </x:c>
      <x:c r="G1" s="4" t="str">
        <x:v>Gann</x:v>
      </x:c>
      <x:c r="H1" s="4" t="str">
        <x:v>Event</x:v>
      </x:c>
      <x:c r="I1" s="4" t="str">
        <x:v>Valuation</x:v>
      </x:c>
      <x:c r="J1" s="4" t="str">
        <x:v>Revisions</x:v>
      </x:c>
      <x:c r="K1" s="4" t="str">
        <x:v>Notes</x:v>
      </x:c>
    </x:row>
    <x:row r="2">
      <x:c r="A2" t="str">
        <x:v>NVDA</x:v>
      </x:c>
      <x:c r="B2" t="str">
        <x:v>Yes</x:v>
      </x:c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3">
      <x:c r="A3" t="str">
        <x:v>CRDO</x:v>
      </x:c>
      <x:c r="B3" t="str">
        <x:v>Yes</x:v>
      </x:c>
      <x:c r="C3" t="str"/>
      <x:c r="D3" t="str"/>
      <x:c r="E3" t="str"/>
      <x:c r="F3" t="str"/>
      <x:c r="G3" t="str"/>
      <x:c r="H3" t="str"/>
      <x:c r="I3" t="str"/>
      <x:c r="J3" t="str"/>
      <x:c r="K3" t="str"/>
    </x:row>
    <x:row r="4">
      <x:c r="A4" t="str">
        <x:v>LITE</x:v>
      </x:c>
      <x:c r="B4" t="str">
        <x:v>Yes</x:v>
      </x:c>
      <x:c r="C4" t="str"/>
      <x:c r="D4" t="str"/>
      <x:c r="E4" t="str"/>
      <x:c r="F4" t="str"/>
      <x:c r="G4" t="str"/>
      <x:c r="H4" t="str"/>
      <x:c r="I4" t="str"/>
      <x:c r="J4" t="str"/>
      <x:c r="K4" t="str"/>
    </x:row>
    <x:row r="5">
      <x:c r="A5" t="str">
        <x:v>IREN</x:v>
      </x:c>
      <x:c r="B5" t="str">
        <x:v>Yes</x:v>
      </x:c>
      <x:c r="C5" t="str"/>
      <x:c r="D5" t="str"/>
      <x:c r="E5" t="str"/>
      <x:c r="F5" t="str"/>
      <x:c r="G5" t="str"/>
      <x:c r="H5" t="str"/>
      <x:c r="I5" t="str"/>
      <x:c r="J5" t="str"/>
      <x:c r="K5" t="str"/>
    </x:row>
    <x:row r="6">
      <x:c r="A6" t="str">
        <x:v>HOOD</x:v>
      </x:c>
      <x:c r="B6" t="str">
        <x:v>Yes</x:v>
      </x:c>
      <x:c r="C6" t="str"/>
      <x:c r="D6" t="str"/>
      <x:c r="E6" t="str"/>
      <x:c r="F6" t="str"/>
      <x:c r="G6" t="str"/>
      <x:c r="H6" t="str"/>
      <x:c r="I6" t="str"/>
      <x:c r="J6" t="str"/>
      <x:c r="K6" t="str"/>
    </x:row>
    <x:row r="7">
      <x:c r="A7" t="str">
        <x:v>GOOG</x:v>
      </x:c>
      <x:c r="B7" t="str">
        <x:v>Yes</x:v>
      </x:c>
      <x:c r="C7" t="str"/>
      <x:c r="D7" t="str"/>
      <x:c r="E7" t="str"/>
      <x:c r="F7" t="str"/>
      <x:c r="G7" t="str"/>
      <x:c r="H7" t="str"/>
      <x:c r="I7" t="str"/>
      <x:c r="J7" t="str"/>
      <x:c r="K7" t="str"/>
    </x:row>
    <x:row r="8">
      <x:c r="A8" t="str">
        <x:v>MSFT</x:v>
      </x:c>
      <x:c r="B8" t="str">
        <x:v>Yes</x:v>
      </x:c>
      <x:c r="C8" t="str"/>
      <x:c r="D8" t="str"/>
      <x:c r="E8" t="str"/>
      <x:c r="F8" t="str"/>
      <x:c r="G8" t="str"/>
      <x:c r="H8" t="str"/>
      <x:c r="I8" t="str"/>
      <x:c r="J8" t="str"/>
      <x:c r="K8" t="str"/>
    </x:row>
    <x:row r="9">
      <x:c r="A9" t="str">
        <x:v>AVGO</x:v>
      </x:c>
      <x:c r="B9" t="str">
        <x:v>Yes</x:v>
      </x:c>
      <x:c r="C9" t="str"/>
      <x:c r="D9" t="str"/>
      <x:c r="E9" t="str"/>
      <x:c r="F9" t="str"/>
      <x:c r="G9" t="str"/>
      <x:c r="H9" t="str"/>
      <x:c r="I9" t="str"/>
      <x:c r="J9" t="str"/>
      <x:c r="K9" t="str"/>
    </x:row>
    <x:row r="10">
      <x:c r="A10" t="str">
        <x:v>RKLB</x:v>
      </x:c>
      <x:c r="B10" t="str">
        <x:v>Yes</x:v>
      </x:c>
      <x:c r="C10" t="str"/>
      <x:c r="D10" t="str"/>
      <x:c r="E10" t="str"/>
      <x:c r="F10" t="str"/>
      <x:c r="G10" t="str"/>
      <x:c r="H10" t="str"/>
      <x:c r="I10" t="str"/>
      <x:c r="J10" t="str"/>
      <x:c r="K10" t="str"/>
    </x:row>
    <x:row r="11">
      <x:c r="A11" t="str">
        <x:v>IONQ</x:v>
      </x:c>
      <x:c r="B11" t="str">
        <x:v>Yes</x:v>
      </x:c>
      <x:c r="C11" t="str"/>
      <x:c r="D11" t="str"/>
      <x:c r="E11" t="str"/>
      <x:c r="F11" t="str"/>
      <x:c r="G11" t="str"/>
      <x:c r="H11" t="str"/>
      <x:c r="I11" t="str"/>
      <x:c r="J11" t="str"/>
      <x:c r="K11" t="str"/>
    </x:row>
  </x:sheetData>
  <x:dataValidations count="8">
    <x:dataValidation type="list" sqref="C2:C200">
      <x:formula1>"Done,Missing,Stale,Not Needed"</x:formula1>
    </x:dataValidation>
    <x:dataValidation type="list" sqref="D2:D200">
      <x:formula1>"Done,Missing,Stale,Not Needed"</x:formula1>
    </x:dataValidation>
    <x:dataValidation type="list" sqref="E2:E200">
      <x:formula1>"Done,Missing,Stale,Not Needed"</x:formula1>
    </x:dataValidation>
    <x:dataValidation type="list" sqref="F2:F200">
      <x:formula1>"Done,Missing,Stale,Not Needed"</x:formula1>
    </x:dataValidation>
    <x:dataValidation type="list" sqref="G2:G200">
      <x:formula1>"Done,Missing,Stale,Not Needed"</x:formula1>
    </x:dataValidation>
    <x:dataValidation type="list" sqref="H2:H200">
      <x:formula1>"Done,Missing,Stale,Not Needed"</x:formula1>
    </x:dataValidation>
    <x:dataValidation type="list" sqref="I2:I200">
      <x:formula1>"Done,Missing,Stale,Not Needed"</x:formula1>
    </x:dataValidation>
    <x:dataValidation type="list" sqref="J2:J200">
      <x:formula1>"Done,Missing,Stale,Not 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b322738acc45a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2" t="str">
        <x:v>AMOS Daily Brief Packet</x:v>
      </x:c>
      <x:c r="B1" s="14" t="str"/>
      <x:c r="C1" s="14" t="str"/>
      <x:c r="D1" s="14" t="str"/>
      <x:c r="E1" s="14" t="str"/>
      <x:c r="F1" s="14" t="str"/>
      <x:c r="G1" s="14" t="str"/>
      <x:c r="H1" s="14" t="str"/>
    </x:row>
    <x:row r="2">
      <x:c r="A2" s="14" t="str">
        <x:v>Date</x:v>
      </x:c>
      <x:c r="B2" s="14" t="str">
        <x:v>2026-05-24</x:v>
      </x:c>
      <x:c r="C2" s="14" t="str">
        <x:v>Mode</x:v>
      </x:c>
      <x:c r="D2" s="14" t="str">
        <x:v>Manual Data Alpha</x:v>
      </x:c>
      <x:c r="E2" s="14" t="str">
        <x:v>Data Freshness</x:v>
      </x:c>
      <x:c r="F2" s="14" t="str">
        <x:f>COUNTIF('Manual Inputs'!AC2:AC200,"Fresh")&amp;" fresh / "&amp;COUNTIF('Manual Inputs'!AC2:AC200,"Missing")&amp;" missing"</x:f>
        <x:v>0 fresh / 10 missing</x:v>
      </x:c>
      <x:c r="G2" s="14" t="str"/>
      <x:c r="H2" s="14" t="str"/>
    </x:row>
    <x:row r="3">
      <x:c r="A3" s="14" t="str">
        <x:v>Market Regime</x:v>
      </x:c>
      <x:c r="B3" s="14" t="str">
        <x:v>Manual input required</x:v>
      </x:c>
      <x:c r="C3" s="14" t="str">
        <x:v>Beta Ceiling</x:v>
      </x:c>
      <x:c r="D3" s="14" t="str">
        <x:v>Manual input required</x:v>
      </x:c>
      <x:c r="E3" s="14" t="str">
        <x:v>Main Risk</x:v>
      </x:c>
      <x:c r="F3" s="14" t="str">
        <x:v>Manual input required</x:v>
      </x:c>
      <x:c r="G3" s="14" t="str"/>
      <x:c r="H3" s="14" t="str"/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</x:row>
    <x:row r="5">
      <x:c r="A5" s="8" t="str">
        <x:v>Action Bucket</x:v>
      </x:c>
      <x:c r="B5" s="8" t="str">
        <x:v>Ticker Count</x:v>
      </x:c>
      <x:c r="C5" s="8" t="str">
        <x:v>Tickers</x:v>
      </x:c>
      <x:c r="D5" s="8" t="str">
        <x:v>Notes</x:v>
      </x:c>
      <x:c r="E5" s="8" t="str"/>
      <x:c r="F5" s="8" t="str"/>
      <x:c r="G5" s="8" t="str"/>
      <x:c r="H5" s="8" t="str"/>
    </x:row>
    <x:row r="6">
      <x:c r="A6" s="14" t="str">
        <x:v>Attack</x:v>
      </x:c>
      <x:c r="B6" s="14" t="n">
        <x:f>COUNTIF('Manual Inputs'!AA2:AA200,"Attack")</x:f>
        <x:v>0</x:v>
      </x:c>
      <x:c r="C6" s="14" t="str">
        <x:f>TEXTJOIN(", ",TRUE,FILTER('Manual Inputs'!B2:B200,'Manual Inputs'!AA2:AA200="Attack",""))</x:f>
      </x:c>
      <x:c r="D6" s="14" t="str"/>
      <x:c r="E6" s="14" t="str"/>
      <x:c r="F6" s="14" t="str"/>
      <x:c r="G6" s="14" t="str"/>
      <x:c r="H6" s="14" t="str"/>
    </x:row>
    <x:row r="7">
      <x:c r="A7" s="14" t="str">
        <x:v>Build</x:v>
      </x:c>
      <x:c r="B7" s="14" t="n">
        <x:f>COUNTIF('Manual Inputs'!AA2:AA200,"Build")</x:f>
        <x:v>0</x:v>
      </x:c>
      <x:c r="C7" s="14" t="str">
        <x:f>TEXTJOIN(", ",TRUE,FILTER('Manual Inputs'!B2:B200,'Manual Inputs'!AA2:AA200="Build",""))</x:f>
      </x:c>
      <x:c r="D7" s="14" t="str"/>
      <x:c r="E7" s="14" t="str"/>
      <x:c r="F7" s="14" t="str"/>
      <x:c r="G7" s="14" t="str"/>
      <x:c r="H7" s="14" t="str"/>
    </x:row>
    <x:row r="8">
      <x:c r="A8" s="14" t="str">
        <x:v>Hold</x:v>
      </x:c>
      <x:c r="B8" s="14" t="n">
        <x:f>COUNTIF('Manual Inputs'!AA2:AA200,"Hold")</x:f>
        <x:v>5</x:v>
      </x:c>
      <x:c r="C8" s="14" t="str">
        <x:f>TEXTJOIN(", ",TRUE,FILTER('Manual Inputs'!B2:B200,'Manual Inputs'!AA2:AA200="Hold",""))</x:f>
        <x:v>NVDA, LITE, GOOG, MSFT, AVGO</x:v>
      </x:c>
      <x:c r="D8" s="14" t="str"/>
      <x:c r="E8" s="14" t="str"/>
      <x:c r="F8" s="14" t="str"/>
      <x:c r="G8" s="14" t="str"/>
      <x:c r="H8" s="14" t="str"/>
    </x:row>
    <x:row r="9">
      <x:c r="A9" s="14" t="str">
        <x:v>Trim Watch</x:v>
      </x:c>
      <x:c r="B9" s="14" t="n">
        <x:f>COUNTIF('Manual Inputs'!AA2:AA200,"Trim Watch")</x:f>
        <x:v>1</x:v>
      </x:c>
      <x:c r="C9" s="14" t="str">
        <x:f>TEXTJOIN(", ",TRUE,FILTER('Manual Inputs'!B2:B200,'Manual Inputs'!AA2:AA200="Trim Watch",""))</x:f>
        <x:v>CRDO</x:v>
      </x:c>
      <x:c r="D9" s="14" t="str"/>
      <x:c r="E9" s="14" t="str"/>
      <x:c r="F9" s="14" t="str"/>
      <x:c r="G9" s="14" t="str"/>
      <x:c r="H9" s="14" t="str"/>
    </x:row>
    <x:row r="10">
      <x:c r="A10" s="14" t="str">
        <x:v>Exit</x:v>
      </x:c>
      <x:c r="B10" s="14" t="n">
        <x:f>COUNTIF('Manual Inputs'!AA2:AA200,"Exit")</x:f>
        <x:v>0</x:v>
      </x:c>
      <x:c r="C10" s="14" t="str">
        <x:f>TEXTJOIN(", ",TRUE,FILTER('Manual Inputs'!B2:B200,'Manual Inputs'!AA2:AA200="Exit",""))</x:f>
      </x:c>
      <x:c r="D10" s="14" t="str"/>
      <x:c r="E10" s="14" t="str"/>
      <x:c r="F10" s="14" t="str"/>
      <x:c r="G10" s="14" t="str"/>
      <x:c r="H10" s="14" t="str"/>
    </x:row>
    <x:row r="11">
      <x:c r="A11" s="14" t="str">
        <x:v>Wait</x:v>
      </x:c>
      <x:c r="B11" s="14" t="n">
        <x:f>COUNTIF('Manual Inputs'!AA2:AA200,"Wait")</x:f>
        <x:v>4</x:v>
      </x:c>
      <x:c r="C11" s="14" t="str">
        <x:f>TEXTJOIN(", ",TRUE,FILTER('Manual Inputs'!B2:B200,'Manual Inputs'!AA2:AA200="Wait",""))</x:f>
        <x:v>IREN, HOOD, RKLB, IONQ</x:v>
      </x:c>
      <x:c r="D11" s="14" t="str"/>
      <x:c r="E11" s="14" t="str"/>
      <x:c r="F11" s="14" t="str"/>
      <x:c r="G11" s="14" t="str"/>
      <x:c r="H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</x:row>
    <x:row r="13">
      <x:c r="A13" s="8" t="str">
        <x:v>Top Risk Watch</x:v>
      </x:c>
      <x:c r="B13" s="8" t="str">
        <x:v>Formula / Manual</x:v>
      </x:c>
      <x:c r="C13" s="8" t="str"/>
      <x:c r="D13" s="8" t="str"/>
      <x:c r="E13" s="8" t="str"/>
      <x:c r="F13" s="8" t="str"/>
      <x:c r="G13" s="8" t="str"/>
      <x:c r="H13" s="8" t="str"/>
    </x:row>
    <x:row r="14">
      <x:c r="A14" s="14" t="str">
        <x:v>High Risk Stack &gt;= 70</x:v>
      </x:c>
      <x:c r="B14" s="14" t="str">
        <x:f>TEXTJOIN(", ",TRUE,FILTER('Manual Inputs'!B2:B200,'Manual Inputs'!Y2:Y200&gt;=70,""))</x:f>
      </x:c>
      <x:c r="C14" s="14" t="str"/>
      <x:c r="D14" s="14" t="str"/>
      <x:c r="E14" s="14" t="str"/>
      <x:c r="F14" s="14" t="str"/>
      <x:c r="G14" s="14" t="str"/>
      <x:c r="H14" s="14" t="str"/>
    </x:row>
    <x:row r="15">
      <x:c r="A15" s="14" t="str">
        <x:v>High Event Pressure &gt;= 70</x:v>
      </x:c>
      <x:c r="B15" s="14" t="str">
        <x:f>TEXTJOIN(", ",TRUE,FILTER('Manual Inputs'!B2:B200,'Manual Inputs'!T2:T200&gt;=70,""))</x:f>
      </x:c>
      <x:c r="C15" s="14" t="str"/>
      <x:c r="D15" s="14" t="str"/>
      <x:c r="E15" s="14" t="str"/>
      <x:c r="F15" s="14" t="str"/>
      <x:c r="G15" s="14" t="str"/>
      <x:c r="H15" s="14" t="str"/>
    </x:row>
    <x:row r="16">
      <x:c r="A16" s="14" t="str">
        <x:v>Missing Data</x:v>
      </x:c>
      <x:c r="B16" s="14" t="str">
        <x:f>TEXTJOIN(", ",TRUE,FILTER('Manual Inputs'!B2:B200,'Manual Inputs'!AC2:AC200="Missing",""))</x:f>
        <x:v>NVDA, CRDO, LITE, IREN, HOOD, GOOG, MSFT, AVGO, RKLB, IONQ</x:v>
      </x:c>
      <x:c r="C16" s="14" t="str"/>
      <x:c r="D16" s="14" t="str"/>
      <x:c r="E16" s="14" t="str"/>
      <x:c r="F16" s="14" t="str"/>
      <x:c r="G16" s="14" t="str"/>
      <x:c r="H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</x:row>
    <x:row r="18">
      <x:c r="A18" s="14" t="str">
        <x:v>No-Trade Rules</x:v>
      </x:c>
      <x:c r="B18" s="14" t="str">
        <x:v>No leverage; no chasing tail themes; no action without invalidation; Gann cannot act alone.</x:v>
      </x:c>
      <x:c r="C18" s="14" t="str"/>
      <x:c r="D18" s="14" t="str"/>
      <x:c r="E18" s="14" t="str"/>
      <x:c r="F18" s="14" t="str"/>
      <x:c r="G18" s="14" t="str"/>
      <x:c r="H18" s="14" t="str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30" hidden="0" customWidth="1"/>
    <x:col min="11" max="11" width="30" hidden="0" customWidth="1"/>
  </x:cols>
  <x:sheetData>
    <x:row r="1">
      <x:c r="A1" s="9" t="str">
        <x:v>Date</x:v>
      </x:c>
      <x:c r="B1" s="9" t="str">
        <x:v>Ticker</x:v>
      </x:c>
      <x:c r="C1" s="9" t="str">
        <x:v>Source Type</x:v>
      </x:c>
      <x:c r="D1" s="9" t="str">
        <x:v>Source Name / URL</x:v>
      </x:c>
      <x:c r="E1" s="9" t="str">
        <x:v>Claim</x:v>
      </x:c>
      <x:c r="F1" s="9" t="str">
        <x:v>Claim Type</x:v>
      </x:c>
      <x:c r="G1" s="9" t="str">
        <x:v>Evidence Quality 0-100</x:v>
      </x:c>
      <x:c r="H1" s="9" t="str">
        <x:v>Bias Risk 0-100</x:v>
      </x:c>
      <x:c r="I1" s="9" t="str">
        <x:v>Counter Evidence</x:v>
      </x:c>
      <x:c r="J1" s="9" t="str">
        <x:v>Linked Module</x:v>
      </x:c>
      <x:c r="K1" s="9" t="str">
        <x:v>Invalidation</x:v>
      </x:c>
    </x:row>
    <x:row r="2">
      <x:c r="A2" s="14" t="str">
        <x:v>2026-05-24</x:v>
      </x:c>
      <x:c r="B2" s="14" t="str">
        <x:v>CRDO</x:v>
      </x:c>
      <x:c r="C2" s="14" t="str">
        <x:v>User Observation</x:v>
      </x:c>
      <x:c r="D2" s="14" t="str">
        <x:v>Manual note</x:v>
      </x:c>
      <x:c r="E2" s="14" t="str">
        <x:v>AI Infra / Optical narrative remains strong but crowding is rising.</x:v>
      </x:c>
      <x:c r="F2" s="14" t="str">
        <x:v>Interpretation</x:v>
      </x:c>
      <x:c r="G2" s="14" t="n">
        <x:v>45</x:v>
      </x:c>
      <x:c r="H2" s="14" t="n">
        <x:v>45</x:v>
      </x:c>
      <x:c r="I2" s="14" t="str">
        <x:v>Need real price/volume/earnings data.</x:v>
      </x:c>
      <x:c r="J2" s="14" t="str">
        <x:v>Narrative/Risk</x:v>
      </x:c>
      <x:c r="K2" s="14" t="str">
        <x:v>Optical strong but CRDO loses RS</x:v>
      </x:c>
    </x:row>
    <x:row r="3">
      <x:c r="A3" s="14" t="str">
        <x:v>2026-05-24</x:v>
      </x:c>
      <x:c r="B3" s="14" t="str">
        <x:v>NVDA</x:v>
      </x:c>
      <x:c r="C3" s="14" t="str">
        <x:v>User Observation</x:v>
      </x:c>
      <x:c r="D3" s="14" t="str">
        <x:v>Manual note</x:v>
      </x:c>
      <x:c r="E3" s="14" t="str">
        <x:v>NVDA may remain AI anchor and event driver.</x:v>
      </x:c>
      <x:c r="F3" s="14" t="str">
        <x:v>Interpretation</x:v>
      </x:c>
      <x:c r="G3" s="14" t="n">
        <x:v>45</x:v>
      </x:c>
      <x:c r="H3" s="14" t="n">
        <x:v>40</x:v>
      </x:c>
      <x:c r="I3" s="14" t="str">
        <x:v>Need real event reaction and guidance evidence.</x:v>
      </x:c>
      <x:c r="J3" s="14" t="str">
        <x:v>Macro/Narrative</x:v>
      </x:c>
      <x:c r="K3" s="14" t="str">
        <x:v>NVDA underperforms QQQ after event</x:v>
      </x:c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</x:row>
  </x:sheetData>
  <x:conditionalFormatting sqref="G2:H200">
    <x:cfRule type="dataBar" priority="1">
      <x:dataBar>
        <x:cfvo type="min"/>
        <x:cfvo type="max"/>
        <x:color rgb="23D9FF"/>
      </x:dataBar>
      <x:extLst>
        <x:ext xmlns:x14="http://schemas.microsoft.com/office/spreadsheetml/2009/9/main" uri="{B025F937-C7B1-47D3-B67F-A62EFF666E3E}">
          <x14:id>{A749D848-A406-F918-86CB-06F3F67A6CB9}</x14:id>
        </x:ext>
      </x:extLst>
    </x:cfRule>
  </x:conditionalFormatting>
  <x:dataValidations count="2">
    <x:dataValidation type="list" sqref="C2:C200">
      <x:formula1>Lists!$H$2:$H$7</x:formula1>
    </x:dataValidation>
    <x:dataValidation type="list" sqref="F2:F200">
      <x:formula1>Lists!$H$2:$H$7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2b051efacd4d2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749D848-A406-F918-86CB-06F3F67A6CB9}">
            <x14:dataBar gradient="1">
              <x14:cfvo type="min"/>
              <x14:cfvo type="max"/>
              <x14:fillColor rgb="23D9FF"/>
            </x14:dataBar>
          </x14:cfRule>
          <xm:sqref>G2:H200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Action</x:v>
      </x:c>
      <x:c r="B1" s="4" t="str">
        <x:v>Role</x:v>
      </x:c>
      <x:c r="C1" s="4" t="str">
        <x:v>Trend</x:v>
      </x:c>
      <x:c r="D1" s="4" t="str">
        <x:v>AVWAP Status</x:v>
      </x:c>
      <x:c r="E1" s="4" t="str">
        <x:v>Gann Zone</x:v>
      </x:c>
      <x:c r="F1" s="4" t="str">
        <x:v>Risk Level</x:v>
      </x:c>
      <x:c r="G1" s="4" t="str">
        <x:v>Data Freshness</x:v>
      </x:c>
      <x:c r="H1" s="4" t="str">
        <x:v>Evidence Type</x:v>
      </x:c>
      <x:c r="I1" s="4" t="str">
        <x:v>Narrative</x:v>
      </x:c>
    </x:row>
    <x:row r="2">
      <x:c r="A2" t="str">
        <x:v>Attack</x:v>
      </x:c>
      <x:c r="B2" t="str">
        <x:v>Core</x:v>
      </x:c>
      <x:c r="C2" t="str">
        <x:v>Strong Uptrend</x:v>
      </x:c>
      <x:c r="D2" t="str">
        <x:v>Above</x:v>
      </x:c>
      <x:c r="E2" t="str">
        <x:v>Support Watch</x:v>
      </x:c>
      <x:c r="F2" t="str">
        <x:v>Normal</x:v>
      </x:c>
      <x:c r="G2" t="str">
        <x:v>Fresh</x:v>
      </x:c>
      <x:c r="H2" t="str">
        <x:v>Fact</x:v>
      </x:c>
      <x:c r="I2" t="str">
        <x:v>AI_INFRA</x:v>
      </x:c>
    </x:row>
    <x:row r="3">
      <x:c r="A3" t="str">
        <x:v>Build</x:v>
      </x:c>
      <x:c r="B3" t="str">
        <x:v>Swing</x:v>
      </x:c>
      <x:c r="C3" t="str">
        <x:v>Uptrend</x:v>
      </x:c>
      <x:c r="D3" t="str">
        <x:v>At Support</x:v>
      </x:c>
      <x:c r="E3" t="str">
        <x:v>Resistance Watch</x:v>
      </x:c>
      <x:c r="F3" t="str">
        <x:v>Yellow</x:v>
      </x:c>
      <x:c r="G3" t="str">
        <x:v>Partial</x:v>
      </x:c>
      <x:c r="H3" t="str">
        <x:v>Interpretation</x:v>
      </x:c>
      <x:c r="I3" t="str">
        <x:v>OPTICAL</x:v>
      </x:c>
    </x:row>
    <x:row r="4">
      <x:c r="A4" t="str">
        <x:v>Hold</x:v>
      </x:c>
      <x:c r="B4" t="str">
        <x:v>Tactical</x:v>
      </x:c>
      <x:c r="C4" t="str">
        <x:v>Range</x:v>
      </x:c>
      <x:c r="D4" t="str">
        <x:v>Below</x:v>
      </x:c>
      <x:c r="E4" t="str">
        <x:v>Inside Band</x:v>
      </x:c>
      <x:c r="F4" t="str">
        <x:v>Orange</x:v>
      </x:c>
      <x:c r="G4" t="str">
        <x:v>Stale</x:v>
      </x:c>
      <x:c r="H4" t="str">
        <x:v>Forecast</x:v>
      </x:c>
      <x:c r="I4" t="str">
        <x:v>BTC_FINANCE</x:v>
      </x:c>
    </x:row>
    <x:row r="5">
      <x:c r="A5" t="str">
        <x:v>Trim Watch</x:v>
      </x:c>
      <x:c r="B5" t="str">
        <x:v>Runner</x:v>
      </x:c>
      <x:c r="C5" t="str">
        <x:v>Weakening</x:v>
      </x:c>
      <x:c r="D5" t="str">
        <x:v>Reclaim</x:v>
      </x:c>
      <x:c r="E5" t="str">
        <x:v>No Edge</x:v>
      </x:c>
      <x:c r="F5" t="str">
        <x:v>Red</x:v>
      </x:c>
      <x:c r="G5" t="str">
        <x:v>Missing</x:v>
      </x:c>
      <x:c r="H5" t="str">
        <x:v>Framework</x:v>
      </x:c>
      <x:c r="I5" t="str">
        <x:v>FINTECH</x:v>
      </x:c>
    </x:row>
    <x:row r="6">
      <x:c r="A6" t="str">
        <x:v>Exit</x:v>
      </x:c>
      <x:c r="B6" t="str">
        <x:v>Research</x:v>
      </x:c>
      <x:c r="C6" t="str">
        <x:v>Downtrend</x:v>
      </x:c>
      <x:c r="D6" t="str">
        <x:v>Lost</x:v>
      </x:c>
      <x:c r="E6" t="str">
        <x:v>Unknown</x:v>
      </x:c>
      <x:c r="F6" t="str">
        <x:v>Black</x:v>
      </x:c>
      <x:c r="G6" t="str"/>
      <x:c r="H6" t="str">
        <x:v>User Observation</x:v>
      </x:c>
      <x:c r="I6" t="str">
        <x:v>SPACE</x:v>
      </x:c>
    </x:row>
    <x:row r="7">
      <x:c r="A7" t="str">
        <x:v>Wait</x:v>
      </x:c>
      <x:c r="B7" t="str"/>
      <x:c r="C7" t="str">
        <x:v>Unclear</x:v>
      </x:c>
      <x:c r="D7" t="str">
        <x:v>Unknown</x:v>
      </x:c>
      <x:c r="E7" t="str"/>
      <x:c r="F7" t="str"/>
      <x:c r="G7" t="str"/>
      <x:c r="H7" t="str">
        <x:v>Official</x:v>
      </x:c>
      <x:c r="I7" t="str">
        <x:v>QUANTUM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8" hidden="0" customWidth="1"/>
    <x:col min="12" max="12" width="30" hidden="0" customWidth="1"/>
  </x:cols>
  <x:sheetData>
    <x:row r="1">
      <x:c r="A1" s="46" t="str">
        <x:v>AMOS Daily Brief Generator v0.2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</x:row>
    <x:row r="2">
      <x:c r="A2" s="38" t="str">
        <x:v>Brief Date</x:v>
      </x:c>
      <x:c r="B2" s="38" t="str">
        <x:f>'Brief Config'!B2</x:f>
        <x:v>2026-05-24</x:v>
      </x:c>
      <x:c r="C2" s="38" t="str">
        <x:v>Mode</x:v>
      </x:c>
      <x:c r="D2" s="38" t="str">
        <x:f>'Brief Config'!D2</x:f>
        <x:v>Pre-market / Manual</x:v>
      </x:c>
      <x:c r="E2" s="38" t="str">
        <x:v>Confidence Cap</x:v>
      </x:c>
      <x:c r="F2" s="38" t="n">
        <x:f>'Brief Config'!F2</x:f>
        <x:v>60</x:v>
      </x:c>
      <x:c r="G2" s="38" t="str">
        <x:v>Data Mode</x:v>
      </x:c>
      <x:c r="H2" s="38" t="str">
        <x:f>'Brief Config'!D4</x:f>
        <x:v>Manual Alpha</x:v>
      </x:c>
      <x:c r="I2" s="38" t="str"/>
      <x:c r="J2" s="38" t="str"/>
      <x:c r="K2" s="38" t="str"/>
      <x:c r="L2" s="38" t="str"/>
    </x:row>
    <x:row r="3">
      <x:c r="A3" s="38" t="str">
        <x:v>Market Regime</x:v>
      </x:c>
      <x:c r="B3" s="38" t="str">
        <x:f>'Brief Config'!B3</x:f>
        <x:v>Manual input required</x:v>
      </x:c>
      <x:c r="C3" s="38" t="str">
        <x:v>Beta Ceiling</x:v>
      </x:c>
      <x:c r="D3" s="38" t="str">
        <x:f>'Brief Config'!D3</x:f>
        <x:v>Manual input required</x:v>
      </x:c>
      <x:c r="E3" s="38" t="str">
        <x:v>Main Risk</x:v>
      </x:c>
      <x:c r="F3" s="38" t="str">
        <x:f>'Brief Config'!F3</x:f>
        <x:v>Manual input required</x:v>
      </x:c>
      <x:c r="G3" s="38" t="str"/>
      <x:c r="H3" s="38" t="str"/>
      <x:c r="I3" s="38" t="str"/>
      <x:c r="J3" s="38" t="str"/>
      <x:c r="K3" s="38" t="str"/>
      <x:c r="L3" s="38" t="str"/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</x:row>
    <x:row r="5">
      <x:c r="A5" s="47" t="str">
        <x:v>Executive Summary</x:v>
      </x:c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</x:row>
    <x:row r="6">
      <x:c r="A6" s="14" t="str">
        <x:v>Action Summary</x:v>
      </x:c>
      <x:c r="B6" s="14" t="str">
        <x:f>CONCAT("Hold: ",COUNTIF('Manual Inputs'!AA2:AA200,"Hold")," | Wait: ",COUNTIF('Manual Inputs'!AA2:AA200,"Wait")," | Trim Watch: ",COUNTIF('Manual Inputs'!AA2:AA200,"Trim Watch")," | Build: ",COUNTIF('Manual Inputs'!AA2:AA200,"Build"))</x:f>
        <x:v>Hold: 5 | Wait: 4 | Trim Watch: 1 | Build: 0</x:v>
      </x:c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</x:row>
    <x:row r="7">
      <x:c r="A7" s="14" t="str">
        <x:v>Data Quality</x:v>
      </x:c>
      <x:c r="B7" s="14" t="str">
        <x:f>CONCAT("Fresh: ",COUNTIF('Manual Inputs'!AC2:AC200,"Fresh")," | Partial: ",COUNTIF('Manual Inputs'!AC2:AC200,"Partial")," | Stale: ",COUNTIF('Manual Inputs'!AC2:AC200,"Stale")," | Missing: ",COUNTIF('Manual Inputs'!AC2:AC200,"Missing"))</x:f>
        <x:v>Fresh: 0 | Partial: 0 | Stale: 0 | Missing: 10</x:v>
      </x:c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14" t="str">
        <x:v>Main Instruction</x:v>
      </x:c>
      <x:c r="B8" s="14" t="str">
        <x:v>Do not act on missing data. Read action buckets, risk alerts, and invalidations before trading.</x:v>
      </x:c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</x:row>
    <x:row r="10">
      <x:c r="A10" s="47" t="str">
        <x:v>Action Buckets</x:v>
      </x:c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</x:row>
    <x:row r="11">
      <x:c r="A11" s="45" t="str">
        <x:v>Action</x:v>
      </x:c>
      <x:c r="B11" s="45" t="str">
        <x:v>Count</x:v>
      </x:c>
      <x:c r="C11" s="45" t="str">
        <x:v>Tickers</x:v>
      </x:c>
      <x:c r="D11" s="45" t="str">
        <x:v>Interpretation</x:v>
      </x:c>
      <x:c r="E11" s="45" t="str"/>
      <x:c r="F11" s="45" t="str"/>
      <x:c r="G11" s="45" t="str"/>
      <x:c r="H11" s="45" t="str"/>
      <x:c r="I11" s="45" t="str"/>
      <x:c r="J11" s="45" t="str"/>
      <x:c r="K11" s="45" t="str"/>
      <x:c r="L11" s="45" t="str"/>
    </x:row>
    <x:row r="12">
      <x:c r="A12" s="14" t="str">
        <x:v>Attack</x:v>
      </x:c>
      <x:c r="B12" s="14" t="n">
        <x:f>COUNTIF('Manual Inputs'!AA2:AA200,"Attack")</x:f>
        <x:v>0</x:v>
      </x:c>
      <x:c r="C12" s="14" t="str">
        <x:f>TEXTJOIN(", ",TRUE,FILTER('Manual Inputs'!B2:B200,'Manual Inputs'!AA2:AA200="Attack",""))</x:f>
      </x:c>
      <x:c r="D12" s="14" t="str">
        <x:v>Full attack only if data is fresh, macro allows, and invalidation is defined.</x:v>
      </x:c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</x:row>
    <x:row r="13">
      <x:c r="A13" s="14" t="str">
        <x:v>Build</x:v>
      </x:c>
      <x:c r="B13" s="14" t="n">
        <x:f>COUNTIF('Manual Inputs'!AA2:AA200,"Build")</x:f>
        <x:v>0</x:v>
      </x:c>
      <x:c r="C13" s="14" t="str">
        <x:f>TEXTJOIN(", ",TRUE,FILTER('Manual Inputs'!B2:B200,'Manual Inputs'!AA2:AA200="Build",""))</x:f>
      </x:c>
      <x:c r="D13" s="14" t="str">
        <x:v>Build only with technical confirmation and clear stop.</x:v>
      </x:c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</x:row>
    <x:row r="14">
      <x:c r="A14" s="14" t="str">
        <x:v>Hold</x:v>
      </x:c>
      <x:c r="B14" s="14" t="n">
        <x:f>COUNTIF('Manual Inputs'!AA2:AA200,"Hold")</x:f>
        <x:v>5</x:v>
      </x:c>
      <x:c r="C14" s="14" t="str">
        <x:f>TEXTJOIN(", ",TRUE,FILTER('Manual Inputs'!B2:B200,'Manual Inputs'!AA2:AA200="Hold",""))</x:f>
        <x:v>NVDA, LITE, GOOG, MSFT, AVGO</x:v>
      </x:c>
      <x:c r="D14" s="14" t="str">
        <x:v>Hold thesis intact; monitor invalidation.</x:v>
      </x:c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</x:row>
    <x:row r="15">
      <x:c r="A15" s="14" t="str">
        <x:v>Trim Watch</x:v>
      </x:c>
      <x:c r="B15" s="14" t="n">
        <x:f>COUNTIF('Manual Inputs'!AA2:AA200,"Trim Watch")</x:f>
        <x:v>1</x:v>
      </x:c>
      <x:c r="C15" s="14" t="str">
        <x:f>TEXTJOIN(", ",TRUE,FILTER('Manual Inputs'!B2:B200,'Manual Inputs'!AA2:AA200="Trim Watch",""))</x:f>
        <x:v>CRDO</x:v>
      </x:c>
      <x:c r="D15" s="14" t="str">
        <x:v>Protect profit; wait for exhaustion confirmation before actual trim.</x:v>
      </x:c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</x:row>
    <x:row r="16">
      <x:c r="A16" s="14" t="str">
        <x:v>Exit</x:v>
      </x:c>
      <x:c r="B16" s="14" t="n">
        <x:f>COUNTIF('Manual Inputs'!AA2:AA200,"Exit")</x:f>
        <x:v>0</x:v>
      </x:c>
      <x:c r="C16" s="14" t="str">
        <x:f>TEXTJOIN(", ",TRUE,FILTER('Manual Inputs'!B2:B200,'Manual Inputs'!AA2:AA200="Exit",""))</x:f>
      </x:c>
      <x:c r="D16" s="14" t="str">
        <x:v>Exit if thesis or structure is broken.</x:v>
      </x:c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</x:row>
    <x:row r="17">
      <x:c r="A17" s="14" t="str">
        <x:v>Wait</x:v>
      </x:c>
      <x:c r="B17" s="14" t="n">
        <x:f>COUNTIF('Manual Inputs'!AA2:AA200,"Wait")</x:f>
        <x:v>4</x:v>
      </x:c>
      <x:c r="C17" s="14" t="str">
        <x:f>TEXTJOIN(", ",TRUE,FILTER('Manual Inputs'!B2:B200,'Manual Inputs'!AA2:AA200="Wait",""))</x:f>
        <x:v>IREN, HOOD, RKLB, IONQ</x:v>
      </x:c>
      <x:c r="D17" s="14" t="str">
        <x:v>Wait for maturity or confirmation; no FOMO.</x:v>
      </x:c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</x:row>
    <x:row r="19">
      <x:c r="A19" s="47" t="str">
        <x:v>Risk Alerts</x:v>
      </x:c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</x:row>
    <x:row r="20">
      <x:c r="A20" s="45" t="str">
        <x:v>Alert</x:v>
      </x:c>
      <x:c r="B20" s="45" t="str">
        <x:v>Tickers</x:v>
      </x:c>
      <x:c r="C20" s="45" t="str">
        <x:v>Why It Matters</x:v>
      </x:c>
      <x:c r="D20" s="45" t="str"/>
      <x:c r="E20" s="45" t="str"/>
      <x:c r="F20" s="45" t="str"/>
      <x:c r="G20" s="45" t="str"/>
      <x:c r="H20" s="45" t="str"/>
      <x:c r="I20" s="45" t="str"/>
      <x:c r="J20" s="45" t="str"/>
      <x:c r="K20" s="45" t="str"/>
      <x:c r="L20" s="45" t="str"/>
    </x:row>
    <x:row r="21">
      <x:c r="A21" s="14" t="str">
        <x:v>High Event Pressure &gt;= 70</x:v>
      </x:c>
      <x:c r="B21" s="14" t="str">
        <x:f>TEXTJOIN(", ",TRUE,FILTER('Manual Inputs'!B2:B200,'Manual Inputs'!T2:T200&gt;=70,""))</x:f>
      </x:c>
      <x:c r="C21" s="14" t="str">
        <x:v>Event pressure can create good-news fade, gap risk, or gamma release.</x:v>
      </x:c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</x:row>
    <x:row r="22">
      <x:c r="A22" s="14" t="str">
        <x:v>High Risk Stack &gt;= 70</x:v>
      </x:c>
      <x:c r="B22" s="14" t="str">
        <x:f>TEXTJOIN(", ",TRUE,FILTER('Manual Inputs'!B2:B200,'Manual Inputs'!Y2:Y200&gt;=70,""))</x:f>
      </x:c>
      <x:c r="C22" s="14" t="str">
        <x:v>Do not add; consider trim/watch depending on setup.</x:v>
      </x:c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</x:row>
    <x:row r="23">
      <x:c r="A23" s="14" t="str">
        <x:v>Panic Maturity &gt;= 60</x:v>
      </x:c>
      <x:c r="B23" s="14" t="str">
        <x:f>TEXTJOIN(", ",TRUE,FILTER('Manual Inputs'!B2:B200,'Manual Inputs'!Z2:Z200&gt;=60,""))</x:f>
      </x:c>
      <x:c r="C23" s="14" t="str">
        <x:v>Potential probe candidates if thesis intact and reversal confirms.</x:v>
      </x:c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</x:row>
    <x:row r="24">
      <x:c r="A24" s="14" t="str">
        <x:v>Missing Data</x:v>
      </x:c>
      <x:c r="B24" s="14" t="str">
        <x:f>TEXTJOIN(", ",TRUE,FILTER('Manual Inputs'!B2:B200,'Manual Inputs'!AC2:AC200="Missing",""))</x:f>
        <x:v>NVDA, CRDO, LITE, IREN, HOOD, GOOG, MSFT, AVGO, RKLB, IONQ</x:v>
      </x:c>
      <x:c r="C24" s="14" t="str">
        <x:v>Confidence must be capped; no aggressive action.</x:v>
      </x:c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</x:row>
    <x:row r="26">
      <x:c r="A26" s="47" t="str">
        <x:v>Ticker Brief Lines</x:v>
      </x:c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</x:row>
    <x:row r="27">
      <x:c r="A27" s="45" t="str">
        <x:v>Ticker</x:v>
      </x:c>
      <x:c r="B27" s="45" t="str">
        <x:v>Role</x:v>
      </x:c>
      <x:c r="C27" s="45" t="str">
        <x:v>Action</x:v>
      </x:c>
      <x:c r="D27" s="45" t="str">
        <x:v>Trend</x:v>
      </x:c>
      <x:c r="E27" s="45" t="str">
        <x:v>AVWAP</x:v>
      </x:c>
      <x:c r="F27" s="45" t="str">
        <x:v>Gann Zone</x:v>
      </x:c>
      <x:c r="G27" s="45" t="str">
        <x:v>Narrative</x:v>
      </x:c>
      <x:c r="H27" s="45" t="str">
        <x:v>Risk</x:v>
      </x:c>
      <x:c r="I27" s="45" t="str">
        <x:v>Panic</x:v>
      </x:c>
      <x:c r="J27" s="45" t="str">
        <x:v>Freshness</x:v>
      </x:c>
      <x:c r="K27" s="45" t="str">
        <x:v>Invalidation</x:v>
      </x:c>
      <x:c r="L27" s="45" t="str">
        <x:v>Note</x:v>
      </x:c>
    </x:row>
    <x:row r="28">
      <x:c r="A28" s="14" t="str">
        <x:f>'Manual Inputs'!B2</x:f>
        <x:v>NVDA</x:v>
      </x:c>
      <x:c r="B28" s="14" t="str">
        <x:f>'Manual Inputs'!D2</x:f>
        <x:v>Core</x:v>
      </x:c>
      <x:c r="C28" s="14" t="str">
        <x:f>'Manual Inputs'!AA2</x:f>
        <x:v>Hold</x:v>
      </x:c>
      <x:c r="D28" s="14" t="str">
        <x:f>'Manual Inputs'!L2</x:f>
        <x:v>Unclear</x:v>
      </x:c>
      <x:c r="E28" s="14" t="str">
        <x:f>'Manual Inputs'!O2</x:f>
        <x:v>Unknown</x:v>
      </x:c>
      <x:c r="F28" s="14" t="str">
        <x:f>'Manual Inputs'!P2</x:f>
        <x:v>Unknown</x:v>
      </x:c>
      <x:c r="G28" s="14" t="str">
        <x:f>'Manual Inputs'!U2</x:f>
        <x:v>AI_INFRA</x:v>
      </x:c>
      <x:c r="H28" s="14" t="n">
        <x:f>'Manual Inputs'!Y2</x:f>
        <x:v>0</x:v>
      </x:c>
      <x:c r="I28" s="14" t="n">
        <x:f>'Manual Inputs'!Z2</x:f>
        <x:v>0</x:v>
      </x:c>
      <x:c r="J28" s="14" t="str">
        <x:f>'Manual Inputs'!AC2</x:f>
        <x:v>Missing</x:v>
      </x:c>
      <x:c r="K28" s="14" t="str">
        <x:f>'Manual Inputs'!AB2</x:f>
        <x:v>Fails post-event AVWAP / AI CapEx weakens / RS deteriorates</x:v>
      </x:c>
      <x:c r="L28" s="14" t="n">
        <x:f>'Manual Inputs'!AD2</x:f>
        <x:v>0</x:v>
      </x:c>
    </x:row>
    <x:row r="29">
      <x:c r="A29" s="14" t="str">
        <x:f>'Manual Inputs'!B3</x:f>
        <x:v>CRDO</x:v>
      </x:c>
      <x:c r="B29" s="14" t="str">
        <x:f>'Manual Inputs'!D3</x:f>
        <x:v>Swing</x:v>
      </x:c>
      <x:c r="C29" s="14" t="str">
        <x:f>'Manual Inputs'!AA3</x:f>
        <x:v>Trim Watch</x:v>
      </x:c>
      <x:c r="D29" s="14" t="str">
        <x:f>'Manual Inputs'!L3</x:f>
        <x:v>Unclear</x:v>
      </x:c>
      <x:c r="E29" s="14" t="str">
        <x:f>'Manual Inputs'!O3</x:f>
        <x:v>Unknown</x:v>
      </x:c>
      <x:c r="F29" s="14" t="str">
        <x:f>'Manual Inputs'!P3</x:f>
        <x:v>Unknown</x:v>
      </x:c>
      <x:c r="G29" s="14" t="str">
        <x:f>'Manual Inputs'!U3</x:f>
        <x:v>OPTICAL</x:v>
      </x:c>
      <x:c r="H29" s="14" t="n">
        <x:f>'Manual Inputs'!Y3</x:f>
        <x:v>0</x:v>
      </x:c>
      <x:c r="I29" s="14" t="n">
        <x:f>'Manual Inputs'!Z3</x:f>
        <x:v>0</x:v>
      </x:c>
      <x:c r="J29" s="14" t="str">
        <x:f>'Manual Inputs'!AC3</x:f>
        <x:v>Missing</x:v>
      </x:c>
      <x:c r="K29" s="14" t="str">
        <x:f>'Manual Inputs'!AB3</x:f>
        <x:v>Breaks AVWAP / loses RS / revisions down</x:v>
      </x:c>
      <x:c r="L29" s="14" t="n">
        <x:f>'Manual Inputs'!AD3</x:f>
        <x:v>0</x:v>
      </x:c>
    </x:row>
    <x:row r="30">
      <x:c r="A30" s="14" t="str">
        <x:f>'Manual Inputs'!B4</x:f>
        <x:v>LITE</x:v>
      </x:c>
      <x:c r="B30" s="14" t="str">
        <x:f>'Manual Inputs'!D4</x:f>
        <x:v>Swing</x:v>
      </x:c>
      <x:c r="C30" s="14" t="str">
        <x:f>'Manual Inputs'!AA4</x:f>
        <x:v>Hold</x:v>
      </x:c>
      <x:c r="D30" s="14" t="str">
        <x:f>'Manual Inputs'!L4</x:f>
        <x:v>Unclear</x:v>
      </x:c>
      <x:c r="E30" s="14" t="str">
        <x:f>'Manual Inputs'!O4</x:f>
        <x:v>Unknown</x:v>
      </x:c>
      <x:c r="F30" s="14" t="str">
        <x:f>'Manual Inputs'!P4</x:f>
        <x:v>Unknown</x:v>
      </x:c>
      <x:c r="G30" s="14" t="str">
        <x:f>'Manual Inputs'!U4</x:f>
        <x:v>OPTICAL</x:v>
      </x:c>
      <x:c r="H30" s="14" t="n">
        <x:f>'Manual Inputs'!Y4</x:f>
        <x:v>0</x:v>
      </x:c>
      <x:c r="I30" s="14" t="n">
        <x:f>'Manual Inputs'!Z4</x:f>
        <x:v>0</x:v>
      </x:c>
      <x:c r="J30" s="14" t="str">
        <x:f>'Manual Inputs'!AC4</x:f>
        <x:v>Missing</x:v>
      </x:c>
      <x:c r="K30" s="14" t="str">
        <x:f>'Manual Inputs'!AB4</x:f>
        <x:v>Optical strong but LITE underperforms peers / guidance weakens</x:v>
      </x:c>
      <x:c r="L30" s="14" t="n">
        <x:f>'Manual Inputs'!AD4</x:f>
        <x:v>0</x:v>
      </x:c>
    </x:row>
    <x:row r="31">
      <x:c r="A31" s="14" t="str">
        <x:f>'Manual Inputs'!B5</x:f>
        <x:v>IREN</x:v>
      </x:c>
      <x:c r="B31" s="14" t="str">
        <x:f>'Manual Inputs'!D5</x:f>
        <x:v>Tactical</x:v>
      </x:c>
      <x:c r="C31" s="14" t="str">
        <x:f>'Manual Inputs'!AA5</x:f>
        <x:v>Wait</x:v>
      </x:c>
      <x:c r="D31" s="14" t="str">
        <x:f>'Manual Inputs'!L5</x:f>
        <x:v>Unclear</x:v>
      </x:c>
      <x:c r="E31" s="14" t="str">
        <x:f>'Manual Inputs'!O5</x:f>
        <x:v>Unknown</x:v>
      </x:c>
      <x:c r="F31" s="14" t="str">
        <x:f>'Manual Inputs'!P5</x:f>
        <x:v>Unknown</x:v>
      </x:c>
      <x:c r="G31" s="14" t="str">
        <x:f>'Manual Inputs'!U5</x:f>
        <x:v>BTC_FINANCE</x:v>
      </x:c>
      <x:c r="H31" s="14" t="n">
        <x:f>'Manual Inputs'!Y5</x:f>
        <x:v>0</x:v>
      </x:c>
      <x:c r="I31" s="14" t="n">
        <x:f>'Manual Inputs'!Z5</x:f>
        <x:v>0</x:v>
      </x:c>
      <x:c r="J31" s="14" t="str">
        <x:f>'Manual Inputs'!AC5</x:f>
        <x:v>Missing</x:v>
      </x:c>
      <x:c r="K31" s="14" t="str">
        <x:f>'Manual Inputs'!AB5</x:f>
        <x:v>BTC loses structure / AI compute thesis weakens / dilution risk rises</x:v>
      </x:c>
      <x:c r="L31" s="14" t="n">
        <x:f>'Manual Inputs'!AD5</x:f>
        <x:v>0</x:v>
      </x:c>
    </x:row>
    <x:row r="32">
      <x:c r="A32" s="14" t="str">
        <x:f>'Manual Inputs'!B6</x:f>
        <x:v>HOOD</x:v>
      </x:c>
      <x:c r="B32" s="14" t="str">
        <x:f>'Manual Inputs'!D6</x:f>
        <x:v>Research</x:v>
      </x:c>
      <x:c r="C32" s="14" t="str">
        <x:f>'Manual Inputs'!AA6</x:f>
        <x:v>Wait</x:v>
      </x:c>
      <x:c r="D32" s="14" t="str">
        <x:f>'Manual Inputs'!L6</x:f>
        <x:v>Unclear</x:v>
      </x:c>
      <x:c r="E32" s="14" t="str">
        <x:f>'Manual Inputs'!O6</x:f>
        <x:v>Unknown</x:v>
      </x:c>
      <x:c r="F32" s="14" t="str">
        <x:f>'Manual Inputs'!P6</x:f>
        <x:v>Unknown</x:v>
      </x:c>
      <x:c r="G32" s="14" t="str">
        <x:f>'Manual Inputs'!U6</x:f>
        <x:v>BTC_FINANCE</x:v>
      </x:c>
      <x:c r="H32" s="14" t="n">
        <x:f>'Manual Inputs'!Y6</x:f>
        <x:v>0</x:v>
      </x:c>
      <x:c r="I32" s="14" t="n">
        <x:f>'Manual Inputs'!Z6</x:f>
        <x:v>0</x:v>
      </x:c>
      <x:c r="J32" s="14" t="str">
        <x:f>'Manual Inputs'!AC6</x:f>
        <x:v>Missing</x:v>
      </x:c>
      <x:c r="K32" s="14" t="str">
        <x:f>'Manual Inputs'!AB6</x:f>
        <x:v>Regulatory pressure expands / BTC remains liquidation regime</x:v>
      </x:c>
      <x:c r="L32" s="14" t="n">
        <x:f>'Manual Inputs'!AD6</x:f>
        <x:v>0</x:v>
      </x:c>
    </x:row>
    <x:row r="33">
      <x:c r="A33" s="14" t="str">
        <x:f>'Manual Inputs'!B7</x:f>
        <x:v>GOOG</x:v>
      </x:c>
      <x:c r="B33" s="14" t="str">
        <x:f>'Manual Inputs'!D7</x:f>
        <x:v>Core</x:v>
      </x:c>
      <x:c r="C33" s="14" t="str">
        <x:f>'Manual Inputs'!AA7</x:f>
        <x:v>Hold</x:v>
      </x:c>
      <x:c r="D33" s="14" t="str">
        <x:f>'Manual Inputs'!L7</x:f>
        <x:v>Unclear</x:v>
      </x:c>
      <x:c r="E33" s="14" t="str">
        <x:f>'Manual Inputs'!O7</x:f>
        <x:v>Unknown</x:v>
      </x:c>
      <x:c r="F33" s="14" t="str">
        <x:f>'Manual Inputs'!P7</x:f>
        <x:v>Unknown</x:v>
      </x:c>
      <x:c r="G33" s="14" t="str">
        <x:f>'Manual Inputs'!U7</x:f>
        <x:v>AI_INFRA</x:v>
      </x:c>
      <x:c r="H33" s="14" t="n">
        <x:f>'Manual Inputs'!Y7</x:f>
        <x:v>0</x:v>
      </x:c>
      <x:c r="I33" s="14" t="n">
        <x:f>'Manual Inputs'!Z7</x:f>
        <x:v>0</x:v>
      </x:c>
      <x:c r="J33" s="14" t="str">
        <x:f>'Manual Inputs'!AC7</x:f>
        <x:v>Missing</x:v>
      </x:c>
      <x:c r="K33" s="14" t="str">
        <x:f>'Manual Inputs'!AB7</x:f>
        <x:v>Cloud/AI capex thesis weakens / RS deteriorates</x:v>
      </x:c>
      <x:c r="L33" s="14" t="n">
        <x:f>'Manual Inputs'!AD7</x:f>
        <x:v>0</x:v>
      </x:c>
    </x:row>
    <x:row r="34">
      <x:c r="A34" s="14" t="str">
        <x:f>'Manual Inputs'!B8</x:f>
        <x:v>MSFT</x:v>
      </x:c>
      <x:c r="B34" s="14" t="str">
        <x:f>'Manual Inputs'!D8</x:f>
        <x:v>Core</x:v>
      </x:c>
      <x:c r="C34" s="14" t="str">
        <x:f>'Manual Inputs'!AA8</x:f>
        <x:v>Hold</x:v>
      </x:c>
      <x:c r="D34" s="14" t="str">
        <x:f>'Manual Inputs'!L8</x:f>
        <x:v>Unclear</x:v>
      </x:c>
      <x:c r="E34" s="14" t="str">
        <x:f>'Manual Inputs'!O8</x:f>
        <x:v>Unknown</x:v>
      </x:c>
      <x:c r="F34" s="14" t="str">
        <x:f>'Manual Inputs'!P8</x:f>
        <x:v>Unknown</x:v>
      </x:c>
      <x:c r="G34" s="14" t="str">
        <x:f>'Manual Inputs'!U8</x:f>
        <x:v>AI_INFRA</x:v>
      </x:c>
      <x:c r="H34" s="14" t="n">
        <x:f>'Manual Inputs'!Y8</x:f>
        <x:v>0</x:v>
      </x:c>
      <x:c r="I34" s="14" t="n">
        <x:f>'Manual Inputs'!Z8</x:f>
        <x:v>0</x:v>
      </x:c>
      <x:c r="J34" s="14" t="str">
        <x:f>'Manual Inputs'!AC8</x:f>
        <x:v>Missing</x:v>
      </x:c>
      <x:c r="K34" s="14" t="str">
        <x:f>'Manual Inputs'!AB8</x:f>
        <x:v>Azure/AI capex weakens / margin pressure</x:v>
      </x:c>
      <x:c r="L34" s="14" t="n">
        <x:f>'Manual Inputs'!AD8</x:f>
        <x:v>0</x:v>
      </x:c>
    </x:row>
    <x:row r="35">
      <x:c r="A35" s="14" t="str">
        <x:f>'Manual Inputs'!B9</x:f>
        <x:v>AVGO</x:v>
      </x:c>
      <x:c r="B35" s="14" t="str">
        <x:f>'Manual Inputs'!D9</x:f>
        <x:v>Core</x:v>
      </x:c>
      <x:c r="C35" s="14" t="str">
        <x:f>'Manual Inputs'!AA9</x:f>
        <x:v>Hold</x:v>
      </x:c>
      <x:c r="D35" s="14" t="str">
        <x:f>'Manual Inputs'!L9</x:f>
        <x:v>Unclear</x:v>
      </x:c>
      <x:c r="E35" s="14" t="str">
        <x:f>'Manual Inputs'!O9</x:f>
        <x:v>Unknown</x:v>
      </x:c>
      <x:c r="F35" s="14" t="str">
        <x:f>'Manual Inputs'!P9</x:f>
        <x:v>Unknown</x:v>
      </x:c>
      <x:c r="G35" s="14" t="str">
        <x:f>'Manual Inputs'!U9</x:f>
        <x:v>AI_INFRA</x:v>
      </x:c>
      <x:c r="H35" s="14" t="n">
        <x:f>'Manual Inputs'!Y9</x:f>
        <x:v>0</x:v>
      </x:c>
      <x:c r="I35" s="14" t="n">
        <x:f>'Manual Inputs'!Z9</x:f>
        <x:v>0</x:v>
      </x:c>
      <x:c r="J35" s="14" t="str">
        <x:f>'Manual Inputs'!AC9</x:f>
        <x:v>Missing</x:v>
      </x:c>
      <x:c r="K35" s="14" t="str">
        <x:f>'Manual Inputs'!AB9</x:f>
        <x:v>AI ASIC demand weakens / RS deteriorates</x:v>
      </x:c>
      <x:c r="L35" s="14" t="n">
        <x:f>'Manual Inputs'!AD9</x:f>
        <x:v>0</x:v>
      </x:c>
    </x:row>
    <x:row r="36">
      <x:c r="A36" s="14" t="str">
        <x:f>'Manual Inputs'!B10</x:f>
        <x:v>RKLB</x:v>
      </x:c>
      <x:c r="B36" s="14" t="str">
        <x:f>'Manual Inputs'!D10</x:f>
        <x:v>Tactical</x:v>
      </x:c>
      <x:c r="C36" s="14" t="str">
        <x:f>'Manual Inputs'!AA10</x:f>
        <x:v>Wait</x:v>
      </x:c>
      <x:c r="D36" s="14" t="str">
        <x:f>'Manual Inputs'!L10</x:f>
        <x:v>Unclear</x:v>
      </x:c>
      <x:c r="E36" s="14" t="str">
        <x:f>'Manual Inputs'!O10</x:f>
        <x:v>Unknown</x:v>
      </x:c>
      <x:c r="F36" s="14" t="str">
        <x:f>'Manual Inputs'!P10</x:f>
        <x:v>Unknown</x:v>
      </x:c>
      <x:c r="G36" s="14" t="str">
        <x:f>'Manual Inputs'!U10</x:f>
        <x:v>SPACE</x:v>
      </x:c>
      <x:c r="H36" s="14" t="n">
        <x:f>'Manual Inputs'!Y10</x:f>
        <x:v>0</x:v>
      </x:c>
      <x:c r="I36" s="14" t="n">
        <x:f>'Manual Inputs'!Z10</x:f>
        <x:v>0</x:v>
      </x:c>
      <x:c r="J36" s="14" t="str">
        <x:f>'Manual Inputs'!AC10</x:f>
        <x:v>Missing</x:v>
      </x:c>
      <x:c r="K36" s="14" t="str">
        <x:f>'Manual Inputs'!AB10</x:f>
        <x:v>Space theme fades / failed breakout</x:v>
      </x:c>
      <x:c r="L36" s="14" t="n">
        <x:f>'Manual Inputs'!AD10</x:f>
        <x:v>0</x:v>
      </x:c>
    </x:row>
    <x:row r="37">
      <x:c r="A37" s="14" t="str">
        <x:f>'Manual Inputs'!B11</x:f>
        <x:v>IONQ</x:v>
      </x:c>
      <x:c r="B37" s="14" t="str">
        <x:f>'Manual Inputs'!D11</x:f>
        <x:v>Tactical</x:v>
      </x:c>
      <x:c r="C37" s="14" t="str">
        <x:f>'Manual Inputs'!AA11</x:f>
        <x:v>Wait</x:v>
      </x:c>
      <x:c r="D37" s="14" t="str">
        <x:f>'Manual Inputs'!L11</x:f>
        <x:v>Unclear</x:v>
      </x:c>
      <x:c r="E37" s="14" t="str">
        <x:f>'Manual Inputs'!O11</x:f>
        <x:v>Unknown</x:v>
      </x:c>
      <x:c r="F37" s="14" t="str">
        <x:f>'Manual Inputs'!P11</x:f>
        <x:v>Unknown</x:v>
      </x:c>
      <x:c r="G37" s="14" t="str">
        <x:f>'Manual Inputs'!U11</x:f>
        <x:v>QUANTUM</x:v>
      </x:c>
      <x:c r="H37" s="14" t="n">
        <x:f>'Manual Inputs'!Y11</x:f>
        <x:v>0</x:v>
      </x:c>
      <x:c r="I37" s="14" t="n">
        <x:f>'Manual Inputs'!Z11</x:f>
        <x:v>0</x:v>
      </x:c>
      <x:c r="J37" s="14" t="str">
        <x:f>'Manual Inputs'!AC11</x:f>
        <x:v>Missing</x:v>
      </x:c>
      <x:c r="K37" s="14" t="str">
        <x:f>'Manual Inputs'!AB11</x:f>
        <x:v>Quantum theme fades / tail-chase without leaders</x:v>
      </x:c>
      <x:c r="L37" s="14" t="n">
        <x:f>'Manual Inputs'!AD11</x:f>
        <x:v>0</x:v>
      </x:c>
    </x:row>
    <x:row r="38">
      <x:c r="A38" s="14" t="n">
        <x:f>'Manual Inputs'!B12</x:f>
        <x:v>0</x:v>
      </x:c>
      <x:c r="B38" s="14" t="n">
        <x:f>'Manual Inputs'!D12</x:f>
        <x:v>0</x:v>
      </x:c>
      <x:c r="C38" s="14" t="n">
        <x:f>'Manual Inputs'!AA12</x:f>
        <x:v>0</x:v>
      </x:c>
      <x:c r="D38" s="14" t="n">
        <x:f>'Manual Inputs'!L12</x:f>
        <x:v>0</x:v>
      </x:c>
      <x:c r="E38" s="14" t="n">
        <x:f>'Manual Inputs'!O12</x:f>
        <x:v>0</x:v>
      </x:c>
      <x:c r="F38" s="14" t="n">
        <x:f>'Manual Inputs'!P12</x:f>
        <x:v>0</x:v>
      </x:c>
      <x:c r="G38" s="14" t="n">
        <x:f>'Manual Inputs'!U12</x:f>
        <x:v>0</x:v>
      </x:c>
      <x:c r="H38" s="14" t="n">
        <x:f>'Manual Inputs'!Y12</x:f>
        <x:v>0</x:v>
      </x:c>
      <x:c r="I38" s="14" t="n">
        <x:f>'Manual Inputs'!Z12</x:f>
        <x:v>0</x:v>
      </x:c>
      <x:c r="J38" s="14" t="n">
        <x:f>'Manual Inputs'!AC12</x:f>
        <x:v>0</x:v>
      </x:c>
      <x:c r="K38" s="14" t="n">
        <x:f>'Manual Inputs'!AB12</x:f>
        <x:v>0</x:v>
      </x:c>
      <x:c r="L38" s="14" t="n">
        <x:f>'Manual Inputs'!AD12</x:f>
        <x:v>0</x:v>
      </x:c>
    </x:row>
    <x:row r="39">
      <x:c r="A39" s="14" t="n">
        <x:f>'Manual Inputs'!B13</x:f>
        <x:v>0</x:v>
      </x:c>
      <x:c r="B39" s="14" t="n">
        <x:f>'Manual Inputs'!D13</x:f>
        <x:v>0</x:v>
      </x:c>
      <x:c r="C39" s="14" t="n">
        <x:f>'Manual Inputs'!AA13</x:f>
        <x:v>0</x:v>
      </x:c>
      <x:c r="D39" s="14" t="n">
        <x:f>'Manual Inputs'!L13</x:f>
        <x:v>0</x:v>
      </x:c>
      <x:c r="E39" s="14" t="n">
        <x:f>'Manual Inputs'!O13</x:f>
        <x:v>0</x:v>
      </x:c>
      <x:c r="F39" s="14" t="n">
        <x:f>'Manual Inputs'!P13</x:f>
        <x:v>0</x:v>
      </x:c>
      <x:c r="G39" s="14" t="n">
        <x:f>'Manual Inputs'!U13</x:f>
        <x:v>0</x:v>
      </x:c>
      <x:c r="H39" s="14" t="n">
        <x:f>'Manual Inputs'!Y13</x:f>
        <x:v>0</x:v>
      </x:c>
      <x:c r="I39" s="14" t="n">
        <x:f>'Manual Inputs'!Z13</x:f>
        <x:v>0</x:v>
      </x:c>
      <x:c r="J39" s="14" t="n">
        <x:f>'Manual Inputs'!AC13</x:f>
        <x:v>0</x:v>
      </x:c>
      <x:c r="K39" s="14" t="n">
        <x:f>'Manual Inputs'!AB13</x:f>
        <x:v>0</x:v>
      </x:c>
      <x:c r="L39" s="14" t="n">
        <x:f>'Manual Inputs'!AD13</x:f>
        <x:v>0</x:v>
      </x:c>
    </x:row>
    <x:row r="40">
      <x:c r="A40" s="14" t="n">
        <x:f>'Manual Inputs'!B14</x:f>
        <x:v>0</x:v>
      </x:c>
      <x:c r="B40" s="14" t="n">
        <x:f>'Manual Inputs'!D14</x:f>
        <x:v>0</x:v>
      </x:c>
      <x:c r="C40" s="14" t="n">
        <x:f>'Manual Inputs'!AA14</x:f>
        <x:v>0</x:v>
      </x:c>
      <x:c r="D40" s="14" t="n">
        <x:f>'Manual Inputs'!L14</x:f>
        <x:v>0</x:v>
      </x:c>
      <x:c r="E40" s="14" t="n">
        <x:f>'Manual Inputs'!O14</x:f>
        <x:v>0</x:v>
      </x:c>
      <x:c r="F40" s="14" t="n">
        <x:f>'Manual Inputs'!P14</x:f>
        <x:v>0</x:v>
      </x:c>
      <x:c r="G40" s="14" t="n">
        <x:f>'Manual Inputs'!U14</x:f>
        <x:v>0</x:v>
      </x:c>
      <x:c r="H40" s="14" t="n">
        <x:f>'Manual Inputs'!Y14</x:f>
        <x:v>0</x:v>
      </x:c>
      <x:c r="I40" s="14" t="n">
        <x:f>'Manual Inputs'!Z14</x:f>
        <x:v>0</x:v>
      </x:c>
      <x:c r="J40" s="14" t="n">
        <x:f>'Manual Inputs'!AC14</x:f>
        <x:v>0</x:v>
      </x:c>
      <x:c r="K40" s="14" t="n">
        <x:f>'Manual Inputs'!AB14</x:f>
        <x:v>0</x:v>
      </x:c>
      <x:c r="L40" s="14" t="n">
        <x:f>'Manual Inputs'!AD14</x:f>
        <x:v>0</x:v>
      </x:c>
    </x:row>
    <x:row r="41">
      <x:c r="A41" s="14" t="n">
        <x:f>'Manual Inputs'!B15</x:f>
        <x:v>0</x:v>
      </x:c>
      <x:c r="B41" s="14" t="n">
        <x:f>'Manual Inputs'!D15</x:f>
        <x:v>0</x:v>
      </x:c>
      <x:c r="C41" s="14" t="n">
        <x:f>'Manual Inputs'!AA15</x:f>
        <x:v>0</x:v>
      </x:c>
      <x:c r="D41" s="14" t="n">
        <x:f>'Manual Inputs'!L15</x:f>
        <x:v>0</x:v>
      </x:c>
      <x:c r="E41" s="14" t="n">
        <x:f>'Manual Inputs'!O15</x:f>
        <x:v>0</x:v>
      </x:c>
      <x:c r="F41" s="14" t="n">
        <x:f>'Manual Inputs'!P15</x:f>
        <x:v>0</x:v>
      </x:c>
      <x:c r="G41" s="14" t="n">
        <x:f>'Manual Inputs'!U15</x:f>
        <x:v>0</x:v>
      </x:c>
      <x:c r="H41" s="14" t="n">
        <x:f>'Manual Inputs'!Y15</x:f>
        <x:v>0</x:v>
      </x:c>
      <x:c r="I41" s="14" t="n">
        <x:f>'Manual Inputs'!Z15</x:f>
        <x:v>0</x:v>
      </x:c>
      <x:c r="J41" s="14" t="n">
        <x:f>'Manual Inputs'!AC15</x:f>
        <x:v>0</x:v>
      </x:c>
      <x:c r="K41" s="14" t="n">
        <x:f>'Manual Inputs'!AB15</x:f>
        <x:v>0</x:v>
      </x:c>
      <x:c r="L41" s="14" t="n">
        <x:f>'Manual Inputs'!AD15</x:f>
        <x:v>0</x:v>
      </x:c>
    </x:row>
    <x:row r="42">
      <x:c r="A42" s="14" t="n">
        <x:f>'Manual Inputs'!B16</x:f>
        <x:v>0</x:v>
      </x:c>
      <x:c r="B42" s="14" t="n">
        <x:f>'Manual Inputs'!D16</x:f>
        <x:v>0</x:v>
      </x:c>
      <x:c r="C42" s="14" t="n">
        <x:f>'Manual Inputs'!AA16</x:f>
        <x:v>0</x:v>
      </x:c>
      <x:c r="D42" s="14" t="n">
        <x:f>'Manual Inputs'!L16</x:f>
        <x:v>0</x:v>
      </x:c>
      <x:c r="E42" s="14" t="n">
        <x:f>'Manual Inputs'!O16</x:f>
        <x:v>0</x:v>
      </x:c>
      <x:c r="F42" s="14" t="n">
        <x:f>'Manual Inputs'!P16</x:f>
        <x:v>0</x:v>
      </x:c>
      <x:c r="G42" s="14" t="n">
        <x:f>'Manual Inputs'!U16</x:f>
        <x:v>0</x:v>
      </x:c>
      <x:c r="H42" s="14" t="n">
        <x:f>'Manual Inputs'!Y16</x:f>
        <x:v>0</x:v>
      </x:c>
      <x:c r="I42" s="14" t="n">
        <x:f>'Manual Inputs'!Z16</x:f>
        <x:v>0</x:v>
      </x:c>
      <x:c r="J42" s="14" t="n">
        <x:f>'Manual Inputs'!AC16</x:f>
        <x:v>0</x:v>
      </x:c>
      <x:c r="K42" s="14" t="n">
        <x:f>'Manual Inputs'!AB16</x:f>
        <x:v>0</x:v>
      </x:c>
      <x:c r="L42" s="14" t="n">
        <x:f>'Manual Inputs'!AD16</x:f>
        <x:v>0</x:v>
      </x:c>
    </x:row>
    <x:row r="43">
      <x:c r="A43" s="14" t="n">
        <x:f>'Manual Inputs'!B17</x:f>
        <x:v>0</x:v>
      </x:c>
      <x:c r="B43" s="14" t="n">
        <x:f>'Manual Inputs'!D17</x:f>
        <x:v>0</x:v>
      </x:c>
      <x:c r="C43" s="14" t="n">
        <x:f>'Manual Inputs'!AA17</x:f>
        <x:v>0</x:v>
      </x:c>
      <x:c r="D43" s="14" t="n">
        <x:f>'Manual Inputs'!L17</x:f>
        <x:v>0</x:v>
      </x:c>
      <x:c r="E43" s="14" t="n">
        <x:f>'Manual Inputs'!O17</x:f>
        <x:v>0</x:v>
      </x:c>
      <x:c r="F43" s="14" t="n">
        <x:f>'Manual Inputs'!P17</x:f>
        <x:v>0</x:v>
      </x:c>
      <x:c r="G43" s="14" t="n">
        <x:f>'Manual Inputs'!U17</x:f>
        <x:v>0</x:v>
      </x:c>
      <x:c r="H43" s="14" t="n">
        <x:f>'Manual Inputs'!Y17</x:f>
        <x:v>0</x:v>
      </x:c>
      <x:c r="I43" s="14" t="n">
        <x:f>'Manual Inputs'!Z17</x:f>
        <x:v>0</x:v>
      </x:c>
      <x:c r="J43" s="14" t="n">
        <x:f>'Manual Inputs'!AC17</x:f>
        <x:v>0</x:v>
      </x:c>
      <x:c r="K43" s="14" t="n">
        <x:f>'Manual Inputs'!AB17</x:f>
        <x:v>0</x:v>
      </x:c>
      <x:c r="L43" s="14" t="n">
        <x:f>'Manual Inputs'!AD17</x:f>
        <x:v>0</x:v>
      </x:c>
    </x:row>
    <x:row r="44">
      <x:c r="A44" s="14" t="n">
        <x:f>'Manual Inputs'!B18</x:f>
        <x:v>0</x:v>
      </x:c>
      <x:c r="B44" s="14" t="n">
        <x:f>'Manual Inputs'!D18</x:f>
        <x:v>0</x:v>
      </x:c>
      <x:c r="C44" s="14" t="n">
        <x:f>'Manual Inputs'!AA18</x:f>
        <x:v>0</x:v>
      </x:c>
      <x:c r="D44" s="14" t="n">
        <x:f>'Manual Inputs'!L18</x:f>
        <x:v>0</x:v>
      </x:c>
      <x:c r="E44" s="14" t="n">
        <x:f>'Manual Inputs'!O18</x:f>
        <x:v>0</x:v>
      </x:c>
      <x:c r="F44" s="14" t="n">
        <x:f>'Manual Inputs'!P18</x:f>
        <x:v>0</x:v>
      </x:c>
      <x:c r="G44" s="14" t="n">
        <x:f>'Manual Inputs'!U18</x:f>
        <x:v>0</x:v>
      </x:c>
      <x:c r="H44" s="14" t="n">
        <x:f>'Manual Inputs'!Y18</x:f>
        <x:v>0</x:v>
      </x:c>
      <x:c r="I44" s="14" t="n">
        <x:f>'Manual Inputs'!Z18</x:f>
        <x:v>0</x:v>
      </x:c>
      <x:c r="J44" s="14" t="n">
        <x:f>'Manual Inputs'!AC18</x:f>
        <x:v>0</x:v>
      </x:c>
      <x:c r="K44" s="14" t="n">
        <x:f>'Manual Inputs'!AB18</x:f>
        <x:v>0</x:v>
      </x:c>
      <x:c r="L44" s="14" t="n">
        <x:f>'Manual Inputs'!AD18</x:f>
        <x:v>0</x:v>
      </x:c>
    </x:row>
    <x:row r="45">
      <x:c r="A45" s="14" t="n">
        <x:f>'Manual Inputs'!B19</x:f>
        <x:v>0</x:v>
      </x:c>
      <x:c r="B45" s="14" t="n">
        <x:f>'Manual Inputs'!D19</x:f>
        <x:v>0</x:v>
      </x:c>
      <x:c r="C45" s="14" t="n">
        <x:f>'Manual Inputs'!AA19</x:f>
        <x:v>0</x:v>
      </x:c>
      <x:c r="D45" s="14" t="n">
        <x:f>'Manual Inputs'!L19</x:f>
        <x:v>0</x:v>
      </x:c>
      <x:c r="E45" s="14" t="n">
        <x:f>'Manual Inputs'!O19</x:f>
        <x:v>0</x:v>
      </x:c>
      <x:c r="F45" s="14" t="n">
        <x:f>'Manual Inputs'!P19</x:f>
        <x:v>0</x:v>
      </x:c>
      <x:c r="G45" s="14" t="n">
        <x:f>'Manual Inputs'!U19</x:f>
        <x:v>0</x:v>
      </x:c>
      <x:c r="H45" s="14" t="n">
        <x:f>'Manual Inputs'!Y19</x:f>
        <x:v>0</x:v>
      </x:c>
      <x:c r="I45" s="14" t="n">
        <x:f>'Manual Inputs'!Z19</x:f>
        <x:v>0</x:v>
      </x:c>
      <x:c r="J45" s="14" t="n">
        <x:f>'Manual Inputs'!AC19</x:f>
        <x:v>0</x:v>
      </x:c>
      <x:c r="K45" s="14" t="n">
        <x:f>'Manual Inputs'!AB19</x:f>
        <x:v>0</x:v>
      </x:c>
      <x:c r="L45" s="14" t="n">
        <x:f>'Manual Inputs'!AD19</x:f>
        <x:v>0</x:v>
      </x:c>
    </x:row>
    <x:row r="46">
      <x:c r="A46" s="14" t="n">
        <x:f>'Manual Inputs'!B20</x:f>
        <x:v>0</x:v>
      </x:c>
      <x:c r="B46" s="14" t="n">
        <x:f>'Manual Inputs'!D20</x:f>
        <x:v>0</x:v>
      </x:c>
      <x:c r="C46" s="14" t="n">
        <x:f>'Manual Inputs'!AA20</x:f>
        <x:v>0</x:v>
      </x:c>
      <x:c r="D46" s="14" t="n">
        <x:f>'Manual Inputs'!L20</x:f>
        <x:v>0</x:v>
      </x:c>
      <x:c r="E46" s="14" t="n">
        <x:f>'Manual Inputs'!O20</x:f>
        <x:v>0</x:v>
      </x:c>
      <x:c r="F46" s="14" t="n">
        <x:f>'Manual Inputs'!P20</x:f>
        <x:v>0</x:v>
      </x:c>
      <x:c r="G46" s="14" t="n">
        <x:f>'Manual Inputs'!U20</x:f>
        <x:v>0</x:v>
      </x:c>
      <x:c r="H46" s="14" t="n">
        <x:f>'Manual Inputs'!Y20</x:f>
        <x:v>0</x:v>
      </x:c>
      <x:c r="I46" s="14" t="n">
        <x:f>'Manual Inputs'!Z20</x:f>
        <x:v>0</x:v>
      </x:c>
      <x:c r="J46" s="14" t="n">
        <x:f>'Manual Inputs'!AC20</x:f>
        <x:v>0</x:v>
      </x:c>
      <x:c r="K46" s="14" t="n">
        <x:f>'Manual Inputs'!AB20</x:f>
        <x:v>0</x:v>
      </x:c>
      <x:c r="L46" s="14" t="n">
        <x:f>'Manual Inputs'!AD20</x:f>
        <x:v>0</x:v>
      </x:c>
    </x:row>
    <x:row r="47">
      <x:c r="A47" s="14" t="n">
        <x:f>'Manual Inputs'!B21</x:f>
        <x:v>0</x:v>
      </x:c>
      <x:c r="B47" s="14" t="n">
        <x:f>'Manual Inputs'!D21</x:f>
        <x:v>0</x:v>
      </x:c>
      <x:c r="C47" s="14" t="n">
        <x:f>'Manual Inputs'!AA21</x:f>
        <x:v>0</x:v>
      </x:c>
      <x:c r="D47" s="14" t="n">
        <x:f>'Manual Inputs'!L21</x:f>
        <x:v>0</x:v>
      </x:c>
      <x:c r="E47" s="14" t="n">
        <x:f>'Manual Inputs'!O21</x:f>
        <x:v>0</x:v>
      </x:c>
      <x:c r="F47" s="14" t="n">
        <x:f>'Manual Inputs'!P21</x:f>
        <x:v>0</x:v>
      </x:c>
      <x:c r="G47" s="14" t="n">
        <x:f>'Manual Inputs'!U21</x:f>
        <x:v>0</x:v>
      </x:c>
      <x:c r="H47" s="14" t="n">
        <x:f>'Manual Inputs'!Y21</x:f>
        <x:v>0</x:v>
      </x:c>
      <x:c r="I47" s="14" t="n">
        <x:f>'Manual Inputs'!Z21</x:f>
        <x:v>0</x:v>
      </x:c>
      <x:c r="J47" s="14" t="n">
        <x:f>'Manual Inputs'!AC21</x:f>
        <x:v>0</x:v>
      </x:c>
      <x:c r="K47" s="14" t="n">
        <x:f>'Manual Inputs'!AB21</x:f>
        <x:v>0</x:v>
      </x:c>
      <x:c r="L47" s="14" t="n">
        <x:f>'Manual Inputs'!AD21</x:f>
        <x:v>0</x:v>
      </x:c>
    </x:row>
    <x:row r="48">
      <x:c r="A48" s="14" t="n">
        <x:f>'Manual Inputs'!B22</x:f>
        <x:v>0</x:v>
      </x:c>
      <x:c r="B48" s="14" t="n">
        <x:f>'Manual Inputs'!D22</x:f>
        <x:v>0</x:v>
      </x:c>
      <x:c r="C48" s="14" t="n">
        <x:f>'Manual Inputs'!AA22</x:f>
        <x:v>0</x:v>
      </x:c>
      <x:c r="D48" s="14" t="n">
        <x:f>'Manual Inputs'!L22</x:f>
        <x:v>0</x:v>
      </x:c>
      <x:c r="E48" s="14" t="n">
        <x:f>'Manual Inputs'!O22</x:f>
        <x:v>0</x:v>
      </x:c>
      <x:c r="F48" s="14" t="n">
        <x:f>'Manual Inputs'!P22</x:f>
        <x:v>0</x:v>
      </x:c>
      <x:c r="G48" s="14" t="n">
        <x:f>'Manual Inputs'!U22</x:f>
        <x:v>0</x:v>
      </x:c>
      <x:c r="H48" s="14" t="n">
        <x:f>'Manual Inputs'!Y22</x:f>
        <x:v>0</x:v>
      </x:c>
      <x:c r="I48" s="14" t="n">
        <x:f>'Manual Inputs'!Z22</x:f>
        <x:v>0</x:v>
      </x:c>
      <x:c r="J48" s="14" t="n">
        <x:f>'Manual Inputs'!AC22</x:f>
        <x:v>0</x:v>
      </x:c>
      <x:c r="K48" s="14" t="n">
        <x:f>'Manual Inputs'!AB22</x:f>
        <x:v>0</x:v>
      </x:c>
      <x:c r="L48" s="14" t="n">
        <x:f>'Manual Inputs'!AD22</x:f>
        <x:v>0</x:v>
      </x:c>
    </x:row>
    <x:row r="49">
      <x:c r="A49" s="14" t="n">
        <x:f>'Manual Inputs'!B23</x:f>
        <x:v>0</x:v>
      </x:c>
      <x:c r="B49" s="14" t="n">
        <x:f>'Manual Inputs'!D23</x:f>
        <x:v>0</x:v>
      </x:c>
      <x:c r="C49" s="14" t="n">
        <x:f>'Manual Inputs'!AA23</x:f>
        <x:v>0</x:v>
      </x:c>
      <x:c r="D49" s="14" t="n">
        <x:f>'Manual Inputs'!L23</x:f>
        <x:v>0</x:v>
      </x:c>
      <x:c r="E49" s="14" t="n">
        <x:f>'Manual Inputs'!O23</x:f>
        <x:v>0</x:v>
      </x:c>
      <x:c r="F49" s="14" t="n">
        <x:f>'Manual Inputs'!P23</x:f>
        <x:v>0</x:v>
      </x:c>
      <x:c r="G49" s="14" t="n">
        <x:f>'Manual Inputs'!U23</x:f>
        <x:v>0</x:v>
      </x:c>
      <x:c r="H49" s="14" t="n">
        <x:f>'Manual Inputs'!Y23</x:f>
        <x:v>0</x:v>
      </x:c>
      <x:c r="I49" s="14" t="n">
        <x:f>'Manual Inputs'!Z23</x:f>
        <x:v>0</x:v>
      </x:c>
      <x:c r="J49" s="14" t="n">
        <x:f>'Manual Inputs'!AC23</x:f>
        <x:v>0</x:v>
      </x:c>
      <x:c r="K49" s="14" t="n">
        <x:f>'Manual Inputs'!AB23</x:f>
        <x:v>0</x:v>
      </x:c>
      <x:c r="L49" s="14" t="n">
        <x:f>'Manual Inputs'!AD23</x:f>
        <x:v>0</x:v>
      </x:c>
    </x:row>
    <x:row r="50">
      <x:c r="A50" s="14" t="n">
        <x:f>'Manual Inputs'!B24</x:f>
        <x:v>0</x:v>
      </x:c>
      <x:c r="B50" s="14" t="n">
        <x:f>'Manual Inputs'!D24</x:f>
        <x:v>0</x:v>
      </x:c>
      <x:c r="C50" s="14" t="n">
        <x:f>'Manual Inputs'!AA24</x:f>
        <x:v>0</x:v>
      </x:c>
      <x:c r="D50" s="14" t="n">
        <x:f>'Manual Inputs'!L24</x:f>
        <x:v>0</x:v>
      </x:c>
      <x:c r="E50" s="14" t="n">
        <x:f>'Manual Inputs'!O24</x:f>
        <x:v>0</x:v>
      </x:c>
      <x:c r="F50" s="14" t="n">
        <x:f>'Manual Inputs'!P24</x:f>
        <x:v>0</x:v>
      </x:c>
      <x:c r="G50" s="14" t="n">
        <x:f>'Manual Inputs'!U24</x:f>
        <x:v>0</x:v>
      </x:c>
      <x:c r="H50" s="14" t="n">
        <x:f>'Manual Inputs'!Y24</x:f>
        <x:v>0</x:v>
      </x:c>
      <x:c r="I50" s="14" t="n">
        <x:f>'Manual Inputs'!Z24</x:f>
        <x:v>0</x:v>
      </x:c>
      <x:c r="J50" s="14" t="n">
        <x:f>'Manual Inputs'!AC24</x:f>
        <x:v>0</x:v>
      </x:c>
      <x:c r="K50" s="14" t="n">
        <x:f>'Manual Inputs'!AB24</x:f>
        <x:v>0</x:v>
      </x:c>
      <x:c r="L50" s="14" t="n">
        <x:f>'Manual Inputs'!AD24</x:f>
        <x:v>0</x:v>
      </x:c>
    </x:row>
    <x:row r="51">
      <x:c r="A51" s="14" t="n">
        <x:f>'Manual Inputs'!B25</x:f>
        <x:v>0</x:v>
      </x:c>
      <x:c r="B51" s="14" t="n">
        <x:f>'Manual Inputs'!D25</x:f>
        <x:v>0</x:v>
      </x:c>
      <x:c r="C51" s="14" t="n">
        <x:f>'Manual Inputs'!AA25</x:f>
        <x:v>0</x:v>
      </x:c>
      <x:c r="D51" s="14" t="n">
        <x:f>'Manual Inputs'!L25</x:f>
        <x:v>0</x:v>
      </x:c>
      <x:c r="E51" s="14" t="n">
        <x:f>'Manual Inputs'!O25</x:f>
        <x:v>0</x:v>
      </x:c>
      <x:c r="F51" s="14" t="n">
        <x:f>'Manual Inputs'!P25</x:f>
        <x:v>0</x:v>
      </x:c>
      <x:c r="G51" s="14" t="n">
        <x:f>'Manual Inputs'!U25</x:f>
        <x:v>0</x:v>
      </x:c>
      <x:c r="H51" s="14" t="n">
        <x:f>'Manual Inputs'!Y25</x:f>
        <x:v>0</x:v>
      </x:c>
      <x:c r="I51" s="14" t="n">
        <x:f>'Manual Inputs'!Z25</x:f>
        <x:v>0</x:v>
      </x:c>
      <x:c r="J51" s="14" t="n">
        <x:f>'Manual Inputs'!AC25</x:f>
        <x:v>0</x:v>
      </x:c>
      <x:c r="K51" s="14" t="n">
        <x:f>'Manual Inputs'!AB25</x:f>
        <x:v>0</x:v>
      </x:c>
      <x:c r="L51" s="14" t="n">
        <x:f>'Manual Inputs'!AD25</x:f>
        <x:v>0</x:v>
      </x:c>
    </x:row>
    <x:row r="52">
      <x:c r="A52" s="14" t="n">
        <x:f>'Manual Inputs'!B26</x:f>
        <x:v>0</x:v>
      </x:c>
      <x:c r="B52" s="14" t="n">
        <x:f>'Manual Inputs'!D26</x:f>
        <x:v>0</x:v>
      </x:c>
      <x:c r="C52" s="14" t="n">
        <x:f>'Manual Inputs'!AA26</x:f>
        <x:v>0</x:v>
      </x:c>
      <x:c r="D52" s="14" t="n">
        <x:f>'Manual Inputs'!L26</x:f>
        <x:v>0</x:v>
      </x:c>
      <x:c r="E52" s="14" t="n">
        <x:f>'Manual Inputs'!O26</x:f>
        <x:v>0</x:v>
      </x:c>
      <x:c r="F52" s="14" t="n">
        <x:f>'Manual Inputs'!P26</x:f>
        <x:v>0</x:v>
      </x:c>
      <x:c r="G52" s="14" t="n">
        <x:f>'Manual Inputs'!U26</x:f>
        <x:v>0</x:v>
      </x:c>
      <x:c r="H52" s="14" t="n">
        <x:f>'Manual Inputs'!Y26</x:f>
        <x:v>0</x:v>
      </x:c>
      <x:c r="I52" s="14" t="n">
        <x:f>'Manual Inputs'!Z26</x:f>
        <x:v>0</x:v>
      </x:c>
      <x:c r="J52" s="14" t="n">
        <x:f>'Manual Inputs'!AC26</x:f>
        <x:v>0</x:v>
      </x:c>
      <x:c r="K52" s="14" t="n">
        <x:f>'Manual Inputs'!AB26</x:f>
        <x:v>0</x:v>
      </x:c>
      <x:c r="L52" s="14" t="n">
        <x:f>'Manual Inputs'!AD26</x:f>
        <x:v>0</x:v>
      </x:c>
    </x:row>
    <x:row r="53">
      <x:c r="A53" s="14" t="n">
        <x:f>'Manual Inputs'!B27</x:f>
        <x:v>0</x:v>
      </x:c>
      <x:c r="B53" s="14" t="n">
        <x:f>'Manual Inputs'!D27</x:f>
        <x:v>0</x:v>
      </x:c>
      <x:c r="C53" s="14" t="n">
        <x:f>'Manual Inputs'!AA27</x:f>
        <x:v>0</x:v>
      </x:c>
      <x:c r="D53" s="14" t="n">
        <x:f>'Manual Inputs'!L27</x:f>
        <x:v>0</x:v>
      </x:c>
      <x:c r="E53" s="14" t="n">
        <x:f>'Manual Inputs'!O27</x:f>
        <x:v>0</x:v>
      </x:c>
      <x:c r="F53" s="14" t="n">
        <x:f>'Manual Inputs'!P27</x:f>
        <x:v>0</x:v>
      </x:c>
      <x:c r="G53" s="14" t="n">
        <x:f>'Manual Inputs'!U27</x:f>
        <x:v>0</x:v>
      </x:c>
      <x:c r="H53" s="14" t="n">
        <x:f>'Manual Inputs'!Y27</x:f>
        <x:v>0</x:v>
      </x:c>
      <x:c r="I53" s="14" t="n">
        <x:f>'Manual Inputs'!Z27</x:f>
        <x:v>0</x:v>
      </x:c>
      <x:c r="J53" s="14" t="n">
        <x:f>'Manual Inputs'!AC27</x:f>
        <x:v>0</x:v>
      </x:c>
      <x:c r="K53" s="14" t="n">
        <x:f>'Manual Inputs'!AB27</x:f>
        <x:v>0</x:v>
      </x:c>
      <x:c r="L53" s="14" t="n">
        <x:f>'Manual Inputs'!AD27</x:f>
        <x:v>0</x:v>
      </x:c>
    </x:row>
    <x:row r="54">
      <x:c r="A54" s="14" t="n">
        <x:f>'Manual Inputs'!B28</x:f>
        <x:v>0</x:v>
      </x:c>
      <x:c r="B54" s="14" t="n">
        <x:f>'Manual Inputs'!D28</x:f>
        <x:v>0</x:v>
      </x:c>
      <x:c r="C54" s="14" t="n">
        <x:f>'Manual Inputs'!AA28</x:f>
        <x:v>0</x:v>
      </x:c>
      <x:c r="D54" s="14" t="n">
        <x:f>'Manual Inputs'!L28</x:f>
        <x:v>0</x:v>
      </x:c>
      <x:c r="E54" s="14" t="n">
        <x:f>'Manual Inputs'!O28</x:f>
        <x:v>0</x:v>
      </x:c>
      <x:c r="F54" s="14" t="n">
        <x:f>'Manual Inputs'!P28</x:f>
        <x:v>0</x:v>
      </x:c>
      <x:c r="G54" s="14" t="n">
        <x:f>'Manual Inputs'!U28</x:f>
        <x:v>0</x:v>
      </x:c>
      <x:c r="H54" s="14" t="n">
        <x:f>'Manual Inputs'!Y28</x:f>
        <x:v>0</x:v>
      </x:c>
      <x:c r="I54" s="14" t="n">
        <x:f>'Manual Inputs'!Z28</x:f>
        <x:v>0</x:v>
      </x:c>
      <x:c r="J54" s="14" t="n">
        <x:f>'Manual Inputs'!AC28</x:f>
        <x:v>0</x:v>
      </x:c>
      <x:c r="K54" s="14" t="n">
        <x:f>'Manual Inputs'!AB28</x:f>
        <x:v>0</x:v>
      </x:c>
      <x:c r="L54" s="14" t="n">
        <x:f>'Manual Inputs'!AD28</x:f>
        <x:v>0</x:v>
      </x:c>
    </x:row>
    <x:row r="55">
      <x:c r="A55" s="14" t="n">
        <x:f>'Manual Inputs'!B29</x:f>
        <x:v>0</x:v>
      </x:c>
      <x:c r="B55" s="14" t="n">
        <x:f>'Manual Inputs'!D29</x:f>
        <x:v>0</x:v>
      </x:c>
      <x:c r="C55" s="14" t="n">
        <x:f>'Manual Inputs'!AA29</x:f>
        <x:v>0</x:v>
      </x:c>
      <x:c r="D55" s="14" t="n">
        <x:f>'Manual Inputs'!L29</x:f>
        <x:v>0</x:v>
      </x:c>
      <x:c r="E55" s="14" t="n">
        <x:f>'Manual Inputs'!O29</x:f>
        <x:v>0</x:v>
      </x:c>
      <x:c r="F55" s="14" t="n">
        <x:f>'Manual Inputs'!P29</x:f>
        <x:v>0</x:v>
      </x:c>
      <x:c r="G55" s="14" t="n">
        <x:f>'Manual Inputs'!U29</x:f>
        <x:v>0</x:v>
      </x:c>
      <x:c r="H55" s="14" t="n">
        <x:f>'Manual Inputs'!Y29</x:f>
        <x:v>0</x:v>
      </x:c>
      <x:c r="I55" s="14" t="n">
        <x:f>'Manual Inputs'!Z29</x:f>
        <x:v>0</x:v>
      </x:c>
      <x:c r="J55" s="14" t="n">
        <x:f>'Manual Inputs'!AC29</x:f>
        <x:v>0</x:v>
      </x:c>
      <x:c r="K55" s="14" t="n">
        <x:f>'Manual Inputs'!AB29</x:f>
        <x:v>0</x:v>
      </x:c>
      <x:c r="L55" s="14" t="n">
        <x:f>'Manual Inputs'!AD29</x:f>
        <x:v>0</x:v>
      </x:c>
    </x:row>
    <x:row r="56">
      <x:c r="A56" s="14" t="n">
        <x:f>'Manual Inputs'!B30</x:f>
        <x:v>0</x:v>
      </x:c>
      <x:c r="B56" s="14" t="n">
        <x:f>'Manual Inputs'!D30</x:f>
        <x:v>0</x:v>
      </x:c>
      <x:c r="C56" s="14" t="n">
        <x:f>'Manual Inputs'!AA30</x:f>
        <x:v>0</x:v>
      </x:c>
      <x:c r="D56" s="14" t="n">
        <x:f>'Manual Inputs'!L30</x:f>
        <x:v>0</x:v>
      </x:c>
      <x:c r="E56" s="14" t="n">
        <x:f>'Manual Inputs'!O30</x:f>
        <x:v>0</x:v>
      </x:c>
      <x:c r="F56" s="14" t="n">
        <x:f>'Manual Inputs'!P30</x:f>
        <x:v>0</x:v>
      </x:c>
      <x:c r="G56" s="14" t="n">
        <x:f>'Manual Inputs'!U30</x:f>
        <x:v>0</x:v>
      </x:c>
      <x:c r="H56" s="14" t="n">
        <x:f>'Manual Inputs'!Y30</x:f>
        <x:v>0</x:v>
      </x:c>
      <x:c r="I56" s="14" t="n">
        <x:f>'Manual Inputs'!Z30</x:f>
        <x:v>0</x:v>
      </x:c>
      <x:c r="J56" s="14" t="n">
        <x:f>'Manual Inputs'!AC30</x:f>
        <x:v>0</x:v>
      </x:c>
      <x:c r="K56" s="14" t="n">
        <x:f>'Manual Inputs'!AB30</x:f>
        <x:v>0</x:v>
      </x:c>
      <x:c r="L56" s="14" t="n">
        <x:f>'Manual Inputs'!AD30</x:f>
        <x:v>0</x:v>
      </x:c>
    </x:row>
    <x:row r="57">
      <x:c r="A57" s="14" t="n">
        <x:f>'Manual Inputs'!B31</x:f>
        <x:v>0</x:v>
      </x:c>
      <x:c r="B57" s="14" t="n">
        <x:f>'Manual Inputs'!D31</x:f>
        <x:v>0</x:v>
      </x:c>
      <x:c r="C57" s="14" t="n">
        <x:f>'Manual Inputs'!AA31</x:f>
        <x:v>0</x:v>
      </x:c>
      <x:c r="D57" s="14" t="n">
        <x:f>'Manual Inputs'!L31</x:f>
        <x:v>0</x:v>
      </x:c>
      <x:c r="E57" s="14" t="n">
        <x:f>'Manual Inputs'!O31</x:f>
        <x:v>0</x:v>
      </x:c>
      <x:c r="F57" s="14" t="n">
        <x:f>'Manual Inputs'!P31</x:f>
        <x:v>0</x:v>
      </x:c>
      <x:c r="G57" s="14" t="n">
        <x:f>'Manual Inputs'!U31</x:f>
        <x:v>0</x:v>
      </x:c>
      <x:c r="H57" s="14" t="n">
        <x:f>'Manual Inputs'!Y31</x:f>
        <x:v>0</x:v>
      </x:c>
      <x:c r="I57" s="14" t="n">
        <x:f>'Manual Inputs'!Z31</x:f>
        <x:v>0</x:v>
      </x:c>
      <x:c r="J57" s="14" t="n">
        <x:f>'Manual Inputs'!AC31</x:f>
        <x:v>0</x:v>
      </x:c>
      <x:c r="K57" s="14" t="n">
        <x:f>'Manual Inputs'!AB31</x:f>
        <x:v>0</x:v>
      </x:c>
      <x:c r="L57" s="14" t="n">
        <x:f>'Manual Inputs'!AD31</x:f>
        <x:v>0</x:v>
      </x:c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</x:row>
  </x:sheetData>
  <x:mergeCells>
    <x:mergeCell ref="A1:L1"/>
    <x:mergeCell ref="A5:L5"/>
    <x:mergeCell ref="A10:L10"/>
    <x:mergeCell ref="A19:L19"/>
    <x:mergeCell ref="A26:L26"/>
  </x:mergeCells>
  <x:conditionalFormatting sqref="C28:C80">
    <x:cfRule type="expression" dxfId="0" priority="1">
      <x:formula>C28="Trim Watch"</x:formula>
    </x:cfRule>
    <x:cfRule type="expression" dxfId="1" priority="2">
      <x:formula>C28="Wait"</x:formula>
    </x:cfRule>
    <x:cfRule type="expression" dxfId="2" priority="3">
      <x:formula>C28="Hold"</x:formula>
    </x:cfRule>
  </x:conditionalFormatting>
  <x:conditionalFormatting sqref="H28:I80">
    <x:cfRule type="colorScale" priority="4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J28:J80">
    <x:cfRule type="expression" dxfId="3" priority="5">
      <x:formula>J28="Missing"</x:formula>
    </x:cfRule>
    <x:cfRule type="expression" dxfId="4" priority="6">
      <x:formula>J28="Fresh"</x:formula>
    </x:cfRule>
  </x:conditionalFormatting>
  <x:pageMargins left="0.7" right="0.7" top="0.75" bottom="0.75" header="0.3" footer="0.3"/>
  <x:drawing xmlns:r="http://schemas.openxmlformats.org/officeDocument/2006/relationships" r:id="R6177a5b031fe4542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5" t="str">
        <x:v>AMOS Brief Config v0.2</x:v>
      </x:c>
      <x:c r="B1" t="str"/>
      <x:c r="C1" t="str"/>
      <x:c r="D1" t="str"/>
      <x:c r="E1" t="str"/>
      <x:c r="F1" t="str"/>
      <x:c r="G1" t="str"/>
      <x:c r="H1" t="str"/>
    </x:row>
    <x:row r="2">
      <x:c r="A2" s="38" t="str">
        <x:v>Brief Date</x:v>
      </x:c>
      <x:c r="B2" s="38" t="str">
        <x:v>2026-05-24</x:v>
      </x:c>
      <x:c r="C2" s="38" t="str">
        <x:v>Brief Mode</x:v>
      </x:c>
      <x:c r="D2" s="38" t="str">
        <x:v>Pre-market / Manual</x:v>
      </x:c>
      <x:c r="E2" s="38" t="str">
        <x:v>Confidence Cap</x:v>
      </x:c>
      <x:c r="F2" s="38" t="n">
        <x:v>60</x:v>
      </x:c>
      <x:c r="G2" s="38" t="str"/>
      <x:c r="H2" s="38" t="str"/>
    </x:row>
    <x:row r="3">
      <x:c r="A3" s="38" t="str">
        <x:v>Market Regime</x:v>
      </x:c>
      <x:c r="B3" s="38" t="str">
        <x:v>Manual input required</x:v>
      </x:c>
      <x:c r="C3" s="38" t="str">
        <x:v>Beta Ceiling</x:v>
      </x:c>
      <x:c r="D3" s="38" t="str">
        <x:v>Manual input required</x:v>
      </x:c>
      <x:c r="E3" s="38" t="str">
        <x:v>Main Risk</x:v>
      </x:c>
      <x:c r="F3" s="38" t="str">
        <x:v>Manual input required</x:v>
      </x:c>
      <x:c r="G3" s="38" t="str"/>
      <x:c r="H3" s="38" t="str"/>
    </x:row>
    <x:row r="4">
      <x:c r="A4" s="38" t="str">
        <x:v>Tone</x:v>
      </x:c>
      <x:c r="B4" s="38" t="str">
        <x:v>Decision-first</x:v>
      </x:c>
      <x:c r="C4" s="38" t="str">
        <x:v>Data Mode</x:v>
      </x:c>
      <x:c r="D4" s="38" t="str">
        <x:v>Manual Alpha</x:v>
      </x:c>
      <x:c r="E4" s="38" t="str">
        <x:v>Output Type</x:v>
      </x:c>
      <x:c r="F4" s="38" t="str">
        <x:v>Daily Brief</x:v>
      </x:c>
      <x:c r="G4" s="38" t="str"/>
      <x:c r="H4" s="38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s="41" t="str">
        <x:v>No-Trade Rule</x:v>
      </x:c>
      <x:c r="B6" s="41" t="str">
        <x:v>Rule Text</x:v>
      </x:c>
      <x:c r="C6" s="41" t="str"/>
      <x:c r="D6" s="41" t="str"/>
      <x:c r="E6" s="41" t="str"/>
      <x:c r="F6" s="41" t="str"/>
      <x:c r="G6" s="41" t="str"/>
      <x:c r="H6" s="41" t="str"/>
    </x:row>
    <x:row r="7">
      <x:c r="A7" t="str">
        <x:v>1</x:v>
      </x:c>
      <x:c r="B7" t="str">
        <x:v>No leverage.</x:v>
      </x:c>
      <x:c r="C7" t="str"/>
      <x:c r="D7" t="str"/>
      <x:c r="E7" t="str"/>
      <x:c r="F7" t="str"/>
      <x:c r="G7" t="str"/>
      <x:c r="H7" t="str"/>
    </x:row>
    <x:row r="8">
      <x:c r="A8" t="str">
        <x:v>2</x:v>
      </x:c>
      <x:c r="B8" t="str">
        <x:v>No chasing tail themes after a missed move.</x:v>
      </x:c>
      <x:c r="C8" t="str"/>
      <x:c r="D8" t="str"/>
      <x:c r="E8" t="str"/>
      <x:c r="F8" t="str"/>
      <x:c r="G8" t="str"/>
      <x:c r="H8" t="str"/>
    </x:row>
    <x:row r="9">
      <x:c r="A9" t="str">
        <x:v>3</x:v>
      </x:c>
      <x:c r="B9" t="str">
        <x:v>No action without invalidation.</x:v>
      </x:c>
      <x:c r="C9" t="str"/>
      <x:c r="D9" t="str"/>
      <x:c r="E9" t="str"/>
      <x:c r="F9" t="str"/>
      <x:c r="G9" t="str"/>
      <x:c r="H9" t="str"/>
    </x:row>
    <x:row r="10">
      <x:c r="A10" t="str">
        <x:v>4</x:v>
      </x:c>
      <x:c r="B10" t="str">
        <x:v>Gann cannot act alone.</x:v>
      </x:c>
      <x:c r="C10" t="str"/>
      <x:c r="D10" t="str"/>
      <x:c r="E10" t="str"/>
      <x:c r="F10" t="str"/>
      <x:c r="G10" t="str"/>
      <x:c r="H10" t="str"/>
    </x:row>
    <x:row r="11">
      <x:c r="A11" t="str">
        <x:v>5</x:v>
      </x:c>
      <x:c r="B11" t="str">
        <x:v>Headline dip is not enough; panic maturity requires evidence.</x:v>
      </x:c>
      <x:c r="C11" t="str"/>
      <x:c r="D11" t="str"/>
      <x:c r="E11" t="str"/>
      <x:c r="F11" t="str"/>
      <x:c r="G11" t="str"/>
      <x:c r="H11" t="str"/>
    </x:row>
    <x:row r="12">
      <x:c r="A12" t="str">
        <x:v>6</x:v>
      </x:c>
      <x:c r="B12" t="str">
        <x:v>Do not turn a failed swing into core.</x:v>
      </x:c>
      <x:c r="C12" t="str"/>
      <x:c r="D12" t="str"/>
      <x:c r="E12" t="str"/>
      <x:c r="F12" t="str"/>
      <x:c r="G12" t="str"/>
      <x:c r="H12" t="str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6" hidden="0" customWidth="1"/>
    <x:col min="15" max="15" width="16" hidden="0" customWidth="1"/>
    <x:col min="16" max="16" width="13" hidden="0" customWidth="1"/>
    <x:col min="17" max="17" width="14" hidden="0" customWidth="1"/>
    <x:col min="18" max="18" width="38" hidden="0" customWidth="1"/>
    <x:col min="19" max="19" width="16" hidden="0" customWidth="1"/>
    <x:col min="20" max="20" width="28" hidden="0" customWidth="1"/>
    <x:col min="21" max="21" width="13" hidden="0" customWidth="1"/>
    <x:col min="23" max="23" width="16" hidden="0" customWidth="1"/>
    <x:col min="24" max="24" width="16" hidden="0" customWidth="1"/>
  </x:cols>
  <x:sheetData>
    <x:row r="1">
      <x:c r="A1" s="55" t="str">
        <x:v>Ticker</x:v>
      </x:c>
      <x:c r="B1" s="55" t="str">
        <x:v>Role</x:v>
      </x:c>
      <x:c r="C1" s="55" t="str">
        <x:v>Priority</x:v>
      </x:c>
      <x:c r="D1" s="55" t="str">
        <x:v>Check Price</x:v>
      </x:c>
      <x:c r="E1" s="55" t="str">
        <x:v>Check RSI</x:v>
      </x:c>
      <x:c r="F1" s="55" t="str">
        <x:v>Check 8/12 EMA</x:v>
      </x:c>
      <x:c r="G1" s="55" t="str">
        <x:v>Check RS vs QQQ</x:v>
      </x:c>
      <x:c r="H1" s="55" t="str">
        <x:v>Check RS vs Peers</x:v>
      </x:c>
      <x:c r="I1" s="55" t="str">
        <x:v>Check AVWAP</x:v>
      </x:c>
      <x:c r="J1" s="55" t="str">
        <x:v>Check Gann</x:v>
      </x:c>
      <x:c r="K1" s="55" t="str">
        <x:v>Check Event</x:v>
      </x:c>
      <x:c r="L1" s="55" t="str">
        <x:v>Check Valuation</x:v>
      </x:c>
      <x:c r="M1" s="55" t="str">
        <x:v>Check Revisions</x:v>
      </x:c>
      <x:c r="N1" s="55" t="str">
        <x:v>Check Options/Gamma</x:v>
      </x:c>
      <x:c r="O1" s="55" t="str">
        <x:v>Must-Have Missing Count</x:v>
      </x:c>
      <x:c r="P1" s="55" t="str">
        <x:v>Confidence Cap</x:v>
      </x:c>
      <x:c r="Q1" s="55" t="str">
        <x:v>Action Cap</x:v>
      </x:c>
      <x:c r="R1" s="55" t="str">
        <x:v>Why This Matters</x:v>
      </x:c>
      <x:c r="S1" s="55" t="str">
        <x:v>Can Skip Today?</x:v>
      </x:c>
      <x:c r="T1" s="55" t="str">
        <x:v>Manual Notes</x:v>
      </x:c>
      <x:c r="U1" s="55" t="str">
        <x:v>Last Reviewed</x:v>
      </x:c>
      <x:c r="W1" s="58" t="str">
        <x:v>Priority Checklist Summary</x:v>
      </x:c>
    </x:row>
    <x:row r="2">
      <x:c r="A2" s="14" t="str">
        <x:v>NVDA</x:v>
      </x:c>
      <x:c r="B2" s="14" t="str">
        <x:v>Core</x:v>
      </x:c>
      <x:c r="C2" s="14" t="str">
        <x:v>P0</x:v>
      </x:c>
      <x:c r="D2" s="14" t="str">
        <x:v>Must</x:v>
      </x:c>
      <x:c r="E2" s="14" t="str">
        <x:v>Must</x:v>
      </x:c>
      <x:c r="F2" s="14" t="str">
        <x:v>Must</x:v>
      </x:c>
      <x:c r="G2" s="14" t="str">
        <x:v>Must</x:v>
      </x:c>
      <x:c r="H2" s="14" t="str">
        <x:v>Must</x:v>
      </x:c>
      <x:c r="I2" s="14" t="str">
        <x:v>Must</x:v>
      </x:c>
      <x:c r="J2" s="14" t="str">
        <x:v>Should</x:v>
      </x:c>
      <x:c r="K2" s="14" t="str">
        <x:v>Must</x:v>
      </x:c>
      <x:c r="L2" s="14" t="str">
        <x:v>Should</x:v>
      </x:c>
      <x:c r="M2" s="14" t="str">
        <x:v>Must</x:v>
      </x:c>
      <x:c r="N2" s="14" t="str">
        <x:v>Should</x:v>
      </x:c>
      <x:c r="O2" s="14" t="n">
        <x:f>SUM(IF(AND(D2="Must",OR('Manual Inputs'!G2="",'Manual Inputs'!AC2="Missing")),1,0),IF(AND(E2="Must",OR('Manual Inputs'!I2="",'Manual Inputs'!I2=0)),1,0),IF(AND(F2="Must",OR('Manual Inputs'!J2="Unknown",'Manual Inputs'!K2="Unknown")),1,0),IF(AND(G2="Must",OR('Manual Inputs'!M2="",'Manual Inputs'!M2=0)),1,0),IF(AND(H2="Must",OR('Manual Inputs'!N2="",'Manual Inputs'!N2=0)),1,0),IF(AND(I2="Must",'Manual Inputs'!O2="Unknown"),1,0),IF(AND(J2="Must",'Manual Inputs'!P2="Unknown"),1,0),IF(AND(K2="Must",'Manual Inputs'!S2=""),1,0),IF(AND(L2="Must",'Manual Inputs'!X2=""),1,0),IF(AND(M2="Must",'Manual Inputs'!X2=""),1,0))</x:f>
        <x:v>6</x:v>
      </x:c>
      <x:c r="P2" s="14" t="n">
        <x:f>IF(O2=0,80,IF(O2&lt;=2,60,IF(O2&lt;=4,45,30)))</x:f>
        <x:v>30</x:v>
      </x:c>
      <x:c r="Q2" s="14" t="str">
        <x:f>IF(P2&lt;45,"Wait Only",IF(P2&lt;60,"No Attack",IF(P2&lt;80,"Build/Hold Only","No Cap")))</x:f>
        <x:v>Wait Only</x:v>
      </x:c>
      <x:c r="R2" s="14" t="str">
        <x:v>AI主周期总锚。NVDA 弱则AI链整体风险上升。</x:v>
      </x:c>
      <x:c r="S2" s="14" t="str">
        <x:v>No</x:v>
      </x:c>
      <x:c r="T2" s="14" t="str"/>
      <x:c r="U2" s="14" t="str">
        <x:v>2026-05-24</x:v>
      </x:c>
    </x:row>
    <x:row r="3">
      <x:c r="A3" s="14" t="str">
        <x:v>CRDO</x:v>
      </x:c>
      <x:c r="B3" s="14" t="str">
        <x:v>Swing/Core Candidate</x:v>
      </x:c>
      <x:c r="C3" s="14" t="str">
        <x:v>P0</x:v>
      </x:c>
      <x:c r="D3" s="14" t="str">
        <x:v>Must</x:v>
      </x:c>
      <x:c r="E3" s="14" t="str">
        <x:v>Must</x:v>
      </x:c>
      <x:c r="F3" s="14" t="str">
        <x:v>Must</x:v>
      </x:c>
      <x:c r="G3" s="14" t="str">
        <x:v>Must</x:v>
      </x:c>
      <x:c r="H3" s="14" t="str">
        <x:v>Must</x:v>
      </x:c>
      <x:c r="I3" s="14" t="str">
        <x:v>Must</x:v>
      </x:c>
      <x:c r="J3" s="14" t="str">
        <x:v>Must</x:v>
      </x:c>
      <x:c r="K3" s="14" t="str">
        <x:v>Must</x:v>
      </x:c>
      <x:c r="L3" s="14" t="str">
        <x:v>Must</x:v>
      </x:c>
      <x:c r="M3" s="14" t="str">
        <x:v>Must</x:v>
      </x:c>
      <x:c r="N3" s="14" t="str">
        <x:v>Should</x:v>
      </x:c>
      <x:c r="O3" s="14" t="n">
        <x:f>SUM(IF(AND(D3="Must",OR('Manual Inputs'!G3="",'Manual Inputs'!AC3="Missing")),1,0),IF(AND(E3="Must",OR('Manual Inputs'!I3="",'Manual Inputs'!I3=0)),1,0),IF(AND(F3="Must",OR('Manual Inputs'!J3="Unknown",'Manual Inputs'!K3="Unknown")),1,0),IF(AND(G3="Must",OR('Manual Inputs'!M3="",'Manual Inputs'!M3=0)),1,0),IF(AND(H3="Must",OR('Manual Inputs'!N3="",'Manual Inputs'!N3=0)),1,0),IF(AND(I3="Must",'Manual Inputs'!O3="Unknown"),1,0),IF(AND(J3="Must",'Manual Inputs'!P3="Unknown"),1,0),IF(AND(K3="Must",'Manual Inputs'!S3=""),1,0),IF(AND(L3="Must",'Manual Inputs'!X3=""),1,0),IF(AND(M3="Must",'Manual Inputs'!X3=""),1,0))</x:f>
        <x:v>7</x:v>
      </x:c>
      <x:c r="P3" s="14" t="n">
        <x:f>IF(O3=0,80,IF(O3&lt;=2,60,IF(O3&lt;=4,45,30)))</x:f>
        <x:v>30</x:v>
      </x:c>
      <x:c r="Q3" s="14" t="str">
        <x:f>IF(P3&lt;45,"Wait Only",IF(P3&lt;60,"No Attack",IF(P3&lt;80,"Build/Hold Only","No Cap")))</x:f>
        <x:v>Wait Only</x:v>
      </x:c>
      <x:c r="R3" s="14" t="str">
        <x:v>高Beta二线AI连接标的，容易出现利润回吐和拥挤风险。</x:v>
      </x:c>
      <x:c r="S3" s="14" t="str">
        <x:v>No</x:v>
      </x:c>
      <x:c r="T3" s="14" t="str"/>
      <x:c r="U3" s="14" t="str">
        <x:v>2026-05-24</x:v>
      </x:c>
      <x:c r="W3" s="52" t="str">
        <x:v>Metric</x:v>
      </x:c>
      <x:c r="X3" s="52" t="str">
        <x:v>Value</x:v>
      </x:c>
    </x:row>
    <x:row r="4">
      <x:c r="A4" s="14" t="str">
        <x:v>LITE</x:v>
      </x:c>
      <x:c r="B4" s="14" t="str">
        <x:v>Swing Recovery</x:v>
      </x:c>
      <x:c r="C4" s="14" t="str">
        <x:v>P0</x:v>
      </x:c>
      <x:c r="D4" s="14" t="str">
        <x:v>Must</x:v>
      </x:c>
      <x:c r="E4" s="14" t="str">
        <x:v>Must</x:v>
      </x:c>
      <x:c r="F4" s="14" t="str">
        <x:v>Must</x:v>
      </x:c>
      <x:c r="G4" s="14" t="str">
        <x:v>Must</x:v>
      </x:c>
      <x:c r="H4" s="14" t="str">
        <x:v>Must</x:v>
      </x:c>
      <x:c r="I4" s="14" t="str">
        <x:v>Must</x:v>
      </x:c>
      <x:c r="J4" s="14" t="str">
        <x:v>Must</x:v>
      </x:c>
      <x:c r="K4" s="14" t="str">
        <x:v>Should</x:v>
      </x:c>
      <x:c r="L4" s="14" t="str">
        <x:v>Must</x:v>
      </x:c>
      <x:c r="M4" s="14" t="str">
        <x:v>Must</x:v>
      </x:c>
      <x:c r="N4" s="14" t="str">
        <x:v>Optional</x:v>
      </x:c>
      <x:c r="O4" s="14" t="n">
        <x:f>SUM(IF(AND(D4="Must",OR('Manual Inputs'!G4="",'Manual Inputs'!AC4="Missing")),1,0),IF(AND(E4="Must",OR('Manual Inputs'!I4="",'Manual Inputs'!I4=0)),1,0),IF(AND(F4="Must",OR('Manual Inputs'!J4="Unknown",'Manual Inputs'!K4="Unknown")),1,0),IF(AND(G4="Must",OR('Manual Inputs'!M4="",'Manual Inputs'!M4=0)),1,0),IF(AND(H4="Must",OR('Manual Inputs'!N4="",'Manual Inputs'!N4=0)),1,0),IF(AND(I4="Must",'Manual Inputs'!O4="Unknown"),1,0),IF(AND(J4="Must",'Manual Inputs'!P4="Unknown"),1,0),IF(AND(K4="Must",'Manual Inputs'!S4=""),1,0),IF(AND(L4="Must",'Manual Inputs'!X4=""),1,0),IF(AND(M4="Must",'Manual Inputs'!X4=""),1,0))</x:f>
        <x:v>7</x:v>
      </x:c>
      <x:c r="P4" s="14" t="n">
        <x:f>IF(O4=0,80,IF(O4&lt;=2,60,IF(O4&lt;=4,45,30)))</x:f>
        <x:v>30</x:v>
      </x:c>
      <x:c r="Q4" s="14" t="str">
        <x:f>IF(P4&lt;45,"Wait Only",IF(P4&lt;60,"No Attack",IF(P4&lt;80,"Build/Hold Only","No Cap")))</x:f>
        <x:v>Wait Only</x:v>
      </x:c>
      <x:c r="R4" s="14" t="str">
        <x:v>光学链持仓/观察核心，重点看是否跟上CRDO/COHR。</x:v>
      </x:c>
      <x:c r="S4" s="14" t="str">
        <x:v>No</x:v>
      </x:c>
      <x:c r="T4" s="14" t="str"/>
      <x:c r="U4" s="14" t="str">
        <x:v>2026-05-24</x:v>
      </x:c>
      <x:c r="W4" t="str">
        <x:v>P0 Count</x:v>
      </x:c>
      <x:c r="X4" t="n">
        <x:f>COUNTIF(C2:C200,"P0")</x:f>
        <x:v>3</x:v>
      </x:c>
    </x:row>
    <x:row r="5">
      <x:c r="A5" s="14" t="str">
        <x:v>IREN</x:v>
      </x:c>
      <x:c r="B5" s="14" t="str">
        <x:v>Tactical</x:v>
      </x:c>
      <x:c r="C5" s="14" t="str">
        <x:v>P1</x:v>
      </x:c>
      <x:c r="D5" s="14" t="str">
        <x:v>Must</x:v>
      </x:c>
      <x:c r="E5" s="14" t="str">
        <x:v>Must</x:v>
      </x:c>
      <x:c r="F5" s="14" t="str">
        <x:v>Should</x:v>
      </x:c>
      <x:c r="G5" s="14" t="str">
        <x:v>Must</x:v>
      </x:c>
      <x:c r="H5" s="14" t="str">
        <x:v>Should</x:v>
      </x:c>
      <x:c r="I5" s="14" t="str">
        <x:v>Should</x:v>
      </x:c>
      <x:c r="J5" s="14" t="str">
        <x:v>Should</x:v>
      </x:c>
      <x:c r="K5" s="14" t="str">
        <x:v>Must</x:v>
      </x:c>
      <x:c r="L5" s="14" t="str">
        <x:v>Should</x:v>
      </x:c>
      <x:c r="M5" s="14" t="str">
        <x:v>Optional</x:v>
      </x:c>
      <x:c r="N5" s="14" t="str">
        <x:v>Should</x:v>
      </x:c>
      <x:c r="O5" s="14" t="n">
        <x:f>SUM(IF(AND(D5="Must",OR('Manual Inputs'!G5="",'Manual Inputs'!AC5="Missing")),1,0),IF(AND(E5="Must",OR('Manual Inputs'!I5="",'Manual Inputs'!I5=0)),1,0),IF(AND(F5="Must",OR('Manual Inputs'!J5="Unknown",'Manual Inputs'!K5="Unknown")),1,0),IF(AND(G5="Must",OR('Manual Inputs'!M5="",'Manual Inputs'!M5=0)),1,0),IF(AND(H5="Must",OR('Manual Inputs'!N5="",'Manual Inputs'!N5=0)),1,0),IF(AND(I5="Must",'Manual Inputs'!O5="Unknown"),1,0),IF(AND(J5="Must",'Manual Inputs'!P5="Unknown"),1,0),IF(AND(K5="Must",'Manual Inputs'!S5=""),1,0),IF(AND(L5="Must",'Manual Inputs'!X5=""),1,0),IF(AND(M5="Must",'Manual Inputs'!X5=""),1,0))</x:f>
        <x:v>3</x:v>
      </x:c>
      <x:c r="P5" s="14" t="n">
        <x:f>IF(O5=0,80,IF(O5&lt;=2,60,IF(O5&lt;=4,45,30)))</x:f>
        <x:v>45</x:v>
      </x:c>
      <x:c r="Q5" s="14" t="str">
        <x:f>IF(P5&lt;45,"Wait Only",IF(P5&lt;60,"No Attack",IF(P5&lt;80,"Build/Hold Only","No Cap")))</x:f>
        <x:v>No Attack</x:v>
      </x:c>
      <x:c r="R5" s="14" t="str">
        <x:v>BTC + AI compute 双叙事，必须等成熟恐慌或结构确认。</x:v>
      </x:c>
      <x:c r="S5" s="14" t="str">
        <x:v>Only if no position</x:v>
      </x:c>
      <x:c r="T5" s="14" t="str"/>
      <x:c r="U5" s="14" t="str">
        <x:v>2026-05-24</x:v>
      </x:c>
      <x:c r="W5" t="str">
        <x:v>P1 Count</x:v>
      </x:c>
      <x:c r="X5" t="n">
        <x:f>COUNTIF(C2:C200,"P1")</x:f>
        <x:v>5</x:v>
      </x:c>
    </x:row>
    <x:row r="6">
      <x:c r="A6" s="14" t="str">
        <x:v>HOOD</x:v>
      </x:c>
      <x:c r="B6" s="14" t="str">
        <x:v>Research/Build Candidate</x:v>
      </x:c>
      <x:c r="C6" s="14" t="str">
        <x:v>P1</x:v>
      </x:c>
      <x:c r="D6" s="14" t="str">
        <x:v>Must</x:v>
      </x:c>
      <x:c r="E6" s="14" t="str">
        <x:v>Must</x:v>
      </x:c>
      <x:c r="F6" s="14" t="str">
        <x:v>Should</x:v>
      </x:c>
      <x:c r="G6" s="14" t="str">
        <x:v>Must</x:v>
      </x:c>
      <x:c r="H6" s="14" t="str">
        <x:v>Should</x:v>
      </x:c>
      <x:c r="I6" s="14" t="str">
        <x:v>Should</x:v>
      </x:c>
      <x:c r="J6" s="14" t="str">
        <x:v>Should</x:v>
      </x:c>
      <x:c r="K6" s="14" t="str">
        <x:v>Must</x:v>
      </x:c>
      <x:c r="L6" s="14" t="str">
        <x:v>Must</x:v>
      </x:c>
      <x:c r="M6" s="14" t="str">
        <x:v>Should</x:v>
      </x:c>
      <x:c r="N6" s="14" t="str">
        <x:v>Should</x:v>
      </x:c>
      <x:c r="O6" s="14" t="n">
        <x:f>SUM(IF(AND(D6="Must",OR('Manual Inputs'!G6="",'Manual Inputs'!AC6="Missing")),1,0),IF(AND(E6="Must",OR('Manual Inputs'!I6="",'Manual Inputs'!I6=0)),1,0),IF(AND(F6="Must",OR('Manual Inputs'!J6="Unknown",'Manual Inputs'!K6="Unknown")),1,0),IF(AND(G6="Must",OR('Manual Inputs'!M6="",'Manual Inputs'!M6=0)),1,0),IF(AND(H6="Must",OR('Manual Inputs'!N6="",'Manual Inputs'!N6=0)),1,0),IF(AND(I6="Must",'Manual Inputs'!O6="Unknown"),1,0),IF(AND(J6="Must",'Manual Inputs'!P6="Unknown"),1,0),IF(AND(K6="Must",'Manual Inputs'!S6=""),1,0),IF(AND(L6="Must",'Manual Inputs'!X6=""),1,0),IF(AND(M6="Must",'Manual Inputs'!X6=""),1,0))</x:f>
        <x:v>3</x:v>
      </x:c>
      <x:c r="P6" s="14" t="n">
        <x:f>IF(O6=0,80,IF(O6&lt;=2,60,IF(O6&lt;=4,45,30)))</x:f>
        <x:v>45</x:v>
      </x:c>
      <x:c r="Q6" s="14" t="str">
        <x:f>IF(P6&lt;45,"Wait Only",IF(P6&lt;60,"No Attack",IF(P6&lt;80,"Build/Hold Only","No Cap")))</x:f>
        <x:v>No Attack</x:v>
      </x:c>
      <x:c r="R6" s="14" t="str">
        <x:v>加密金融与交易活跃度代理，监管和BTC结构很关键。</x:v>
      </x:c>
      <x:c r="S6" s="14" t="str">
        <x:v>Only if no position</x:v>
      </x:c>
      <x:c r="T6" s="14" t="str"/>
      <x:c r="U6" s="14" t="str">
        <x:v>2026-05-24</x:v>
      </x:c>
      <x:c r="W6" t="str">
        <x:v>P2 Count</x:v>
      </x:c>
      <x:c r="X6" t="n">
        <x:f>COUNTIF(C2:C200,"P2")</x:f>
        <x:v>2</x:v>
      </x:c>
    </x:row>
    <x:row r="7">
      <x:c r="A7" s="14" t="str">
        <x:v>GOOG</x:v>
      </x:c>
      <x:c r="B7" s="14" t="str">
        <x:v>Core</x:v>
      </x:c>
      <x:c r="C7" s="14" t="str">
        <x:v>P1</x:v>
      </x:c>
      <x:c r="D7" s="14" t="str">
        <x:v>Must</x:v>
      </x:c>
      <x:c r="E7" s="14" t="str">
        <x:v>Should</x:v>
      </x:c>
      <x:c r="F7" s="14" t="str">
        <x:v>Should</x:v>
      </x:c>
      <x:c r="G7" s="14" t="str">
        <x:v>Must</x:v>
      </x:c>
      <x:c r="H7" s="14" t="str">
        <x:v>Should</x:v>
      </x:c>
      <x:c r="I7" s="14" t="str">
        <x:v>Should</x:v>
      </x:c>
      <x:c r="J7" s="14" t="str">
        <x:v>Optional</x:v>
      </x:c>
      <x:c r="K7" s="14" t="str">
        <x:v>Should</x:v>
      </x:c>
      <x:c r="L7" s="14" t="str">
        <x:v>Must</x:v>
      </x:c>
      <x:c r="M7" s="14" t="str">
        <x:v>Must</x:v>
      </x:c>
      <x:c r="N7" s="14" t="str">
        <x:v>Optional</x:v>
      </x:c>
      <x:c r="O7" s="14" t="n">
        <x:f>SUM(IF(AND(D7="Must",OR('Manual Inputs'!G7="",'Manual Inputs'!AC7="Missing")),1,0),IF(AND(E7="Must",OR('Manual Inputs'!I7="",'Manual Inputs'!I7=0)),1,0),IF(AND(F7="Must",OR('Manual Inputs'!J7="Unknown",'Manual Inputs'!K7="Unknown")),1,0),IF(AND(G7="Must",OR('Manual Inputs'!M7="",'Manual Inputs'!M7=0)),1,0),IF(AND(H7="Must",OR('Manual Inputs'!N7="",'Manual Inputs'!N7=0)),1,0),IF(AND(I7="Must",'Manual Inputs'!O7="Unknown"),1,0),IF(AND(J7="Must",'Manual Inputs'!P7="Unknown"),1,0),IF(AND(K7="Must",'Manual Inputs'!S7=""),1,0),IF(AND(L7="Must",'Manual Inputs'!X7=""),1,0),IF(AND(M7="Must",'Manual Inputs'!X7=""),1,0))</x:f>
        <x:v>2</x:v>
      </x:c>
      <x:c r="P7" s="14" t="n">
        <x:f>IF(O7=0,80,IF(O7&lt;=2,60,IF(O7&lt;=4,45,30)))</x:f>
        <x:v>60</x:v>
      </x:c>
      <x:c r="Q7" s="14" t="str">
        <x:f>IF(P7&lt;45,"Wait Only",IF(P7&lt;60,"No Attack",IF(P7&lt;80,"Build/Hold Only","No Cap")))</x:f>
        <x:v>Build/Hold Only</x:v>
      </x:c>
      <x:c r="R7" s="14" t="str">
        <x:v>大科技拉盘与AI/广告周期锚，适合做组合稳定器。</x:v>
      </x:c>
      <x:c r="S7" s="14" t="str">
        <x:v>If no event</x:v>
      </x:c>
      <x:c r="T7" s="14" t="str"/>
      <x:c r="U7" s="14" t="str">
        <x:v>2026-05-24</x:v>
      </x:c>
      <x:c r="W7" t="str">
        <x:v>Wait Only</x:v>
      </x:c>
      <x:c r="X7" t="n">
        <x:f>COUNTIF(Q2:Q200,"Wait Only")</x:f>
        <x:v>4</x:v>
      </x:c>
    </x:row>
    <x:row r="8">
      <x:c r="A8" s="14" t="str">
        <x:v>MSFT</x:v>
      </x:c>
      <x:c r="B8" s="14" t="str">
        <x:v>Core</x:v>
      </x:c>
      <x:c r="C8" s="14" t="str">
        <x:v>P1</x:v>
      </x:c>
      <x:c r="D8" s="14" t="str">
        <x:v>Must</x:v>
      </x:c>
      <x:c r="E8" s="14" t="str">
        <x:v>Should</x:v>
      </x:c>
      <x:c r="F8" s="14" t="str">
        <x:v>Should</x:v>
      </x:c>
      <x:c r="G8" s="14" t="str">
        <x:v>Must</x:v>
      </x:c>
      <x:c r="H8" s="14" t="str">
        <x:v>Should</x:v>
      </x:c>
      <x:c r="I8" s="14" t="str">
        <x:v>Should</x:v>
      </x:c>
      <x:c r="J8" s="14" t="str">
        <x:v>Optional</x:v>
      </x:c>
      <x:c r="K8" s="14" t="str">
        <x:v>Should</x:v>
      </x:c>
      <x:c r="L8" s="14" t="str">
        <x:v>Must</x:v>
      </x:c>
      <x:c r="M8" s="14" t="str">
        <x:v>Must</x:v>
      </x:c>
      <x:c r="N8" s="14" t="str">
        <x:v>Optional</x:v>
      </x:c>
      <x:c r="O8" s="14" t="n">
        <x:f>SUM(IF(AND(D8="Must",OR('Manual Inputs'!G8="",'Manual Inputs'!AC8="Missing")),1,0),IF(AND(E8="Must",OR('Manual Inputs'!I8="",'Manual Inputs'!I8=0)),1,0),IF(AND(F8="Must",OR('Manual Inputs'!J8="Unknown",'Manual Inputs'!K8="Unknown")),1,0),IF(AND(G8="Must",OR('Manual Inputs'!M8="",'Manual Inputs'!M8=0)),1,0),IF(AND(H8="Must",OR('Manual Inputs'!N8="",'Manual Inputs'!N8=0)),1,0),IF(AND(I8="Must",'Manual Inputs'!O8="Unknown"),1,0),IF(AND(J8="Must",'Manual Inputs'!P8="Unknown"),1,0),IF(AND(K8="Must",'Manual Inputs'!S8=""),1,0),IF(AND(L8="Must",'Manual Inputs'!X8=""),1,0),IF(AND(M8="Must",'Manual Inputs'!X8=""),1,0))</x:f>
        <x:v>2</x:v>
      </x:c>
      <x:c r="P8" s="14" t="n">
        <x:f>IF(O8=0,80,IF(O8&lt;=2,60,IF(O8&lt;=4,45,30)))</x:f>
        <x:v>60</x:v>
      </x:c>
      <x:c r="Q8" s="14" t="str">
        <x:f>IF(P8&lt;45,"Wait Only",IF(P8&lt;60,"No Attack",IF(P8&lt;80,"Build/Hold Only","No Cap")))</x:f>
        <x:v>Build/Hold Only</x:v>
      </x:c>
      <x:c r="R8" s="14" t="str">
        <x:v>AI CapEx 与云计算验证链核心。</x:v>
      </x:c>
      <x:c r="S8" s="14" t="str">
        <x:v>If no event</x:v>
      </x:c>
      <x:c r="T8" s="14" t="str"/>
      <x:c r="U8" s="14" t="str">
        <x:v>2026-05-24</x:v>
      </x:c>
      <x:c r="W8" t="str">
        <x:v>No Attack</x:v>
      </x:c>
      <x:c r="X8" t="n">
        <x:f>COUNTIF(Q2:Q200,"No Attack")</x:f>
        <x:v>4</x:v>
      </x:c>
    </x:row>
    <x:row r="9">
      <x:c r="A9" s="14" t="str">
        <x:v>AVGO</x:v>
      </x:c>
      <x:c r="B9" s="14" t="str">
        <x:v>Core/Swing</x:v>
      </x:c>
      <x:c r="C9" s="14" t="str">
        <x:v>P1</x:v>
      </x:c>
      <x:c r="D9" s="14" t="str">
        <x:v>Must</x:v>
      </x:c>
      <x:c r="E9" s="14" t="str">
        <x:v>Must</x:v>
      </x:c>
      <x:c r="F9" s="14" t="str">
        <x:v>Must</x:v>
      </x:c>
      <x:c r="G9" s="14" t="str">
        <x:v>Must</x:v>
      </x:c>
      <x:c r="H9" s="14" t="str">
        <x:v>Must</x:v>
      </x:c>
      <x:c r="I9" s="14" t="str">
        <x:v>Should</x:v>
      </x:c>
      <x:c r="J9" s="14" t="str">
        <x:v>Should</x:v>
      </x:c>
      <x:c r="K9" s="14" t="str">
        <x:v>Should</x:v>
      </x:c>
      <x:c r="L9" s="14" t="str">
        <x:v>Must</x:v>
      </x:c>
      <x:c r="M9" s="14" t="str">
        <x:v>Must</x:v>
      </x:c>
      <x:c r="N9" s="14" t="str">
        <x:v>Should</x:v>
      </x:c>
      <x:c r="O9" s="14" t="n">
        <x:f>SUM(IF(AND(D9="Must",OR('Manual Inputs'!G9="",'Manual Inputs'!AC9="Missing")),1,0),IF(AND(E9="Must",OR('Manual Inputs'!I9="",'Manual Inputs'!I9=0)),1,0),IF(AND(F9="Must",OR('Manual Inputs'!J9="Unknown",'Manual Inputs'!K9="Unknown")),1,0),IF(AND(G9="Must",OR('Manual Inputs'!M9="",'Manual Inputs'!M9=0)),1,0),IF(AND(H9="Must",OR('Manual Inputs'!N9="",'Manual Inputs'!N9=0)),1,0),IF(AND(I9="Must",'Manual Inputs'!O9="Unknown"),1,0),IF(AND(J9="Must",'Manual Inputs'!P9="Unknown"),1,0),IF(AND(K9="Must",'Manual Inputs'!S9=""),1,0),IF(AND(L9="Must",'Manual Inputs'!X9=""),1,0),IF(AND(M9="Must",'Manual Inputs'!X9=""),1,0))</x:f>
        <x:v>5</x:v>
      </x:c>
      <x:c r="P9" s="14" t="n">
        <x:f>IF(O9=0,80,IF(O9&lt;=2,60,IF(O9&lt;=4,45,30)))</x:f>
        <x:v>30</x:v>
      </x:c>
      <x:c r="Q9" s="14" t="str">
        <x:f>IF(P9&lt;45,"Wait Only",IF(P9&lt;60,"No Attack",IF(P9&lt;80,"Build/Hold Only","No Cap")))</x:f>
        <x:v>Wait Only</x:v>
      </x:c>
      <x:c r="R9" s="14" t="str">
        <x:v>AI ASIC/网络硬件锚，和NVDA共同验证AI硬件强弱。</x:v>
      </x:c>
      <x:c r="S9" s="14" t="str">
        <x:v>No</x:v>
      </x:c>
      <x:c r="T9" s="14" t="str"/>
      <x:c r="U9" s="14" t="str">
        <x:v>2026-05-24</x:v>
      </x:c>
      <x:c r="W9" t="str">
        <x:v>No Cap</x:v>
      </x:c>
      <x:c r="X9" t="n">
        <x:f>COUNTIF(Q2:Q200,"No Cap")</x:f>
        <x:v>0</x:v>
      </x:c>
    </x:row>
    <x:row r="10">
      <x:c r="A10" s="14" t="str">
        <x:v>RKLB</x:v>
      </x:c>
      <x:c r="B10" s="14" t="str">
        <x:v>Tactical Theme</x:v>
      </x:c>
      <x:c r="C10" s="14" t="str">
        <x:v>P2</x:v>
      </x:c>
      <x:c r="D10" s="14" t="str">
        <x:v>Must</x:v>
      </x:c>
      <x:c r="E10" s="14" t="str">
        <x:v>Must</x:v>
      </x:c>
      <x:c r="F10" s="14" t="str">
        <x:v>Should</x:v>
      </x:c>
      <x:c r="G10" s="14" t="str">
        <x:v>Must</x:v>
      </x:c>
      <x:c r="H10" s="14" t="str">
        <x:v>Should</x:v>
      </x:c>
      <x:c r="I10" s="14" t="str">
        <x:v>Optional</x:v>
      </x:c>
      <x:c r="J10" s="14" t="str">
        <x:v>Should</x:v>
      </x:c>
      <x:c r="K10" s="14" t="str">
        <x:v>Must</x:v>
      </x:c>
      <x:c r="L10" s="14" t="str">
        <x:v>Optional</x:v>
      </x:c>
      <x:c r="M10" s="14" t="str">
        <x:v>Optional</x:v>
      </x:c>
      <x:c r="N10" s="14" t="str">
        <x:v>Optional</x:v>
      </x:c>
      <x:c r="O10" s="14" t="n">
        <x:f>SUM(IF(AND(D10="Must",OR('Manual Inputs'!G10="",'Manual Inputs'!AC10="Missing")),1,0),IF(AND(E10="Must",OR('Manual Inputs'!I10="",'Manual Inputs'!I10=0)),1,0),IF(AND(F10="Must",OR('Manual Inputs'!J10="Unknown",'Manual Inputs'!K10="Unknown")),1,0),IF(AND(G10="Must",OR('Manual Inputs'!M10="",'Manual Inputs'!M10=0)),1,0),IF(AND(H10="Must",OR('Manual Inputs'!N10="",'Manual Inputs'!N10=0)),1,0),IF(AND(I10="Must",'Manual Inputs'!O10="Unknown"),1,0),IF(AND(J10="Must",'Manual Inputs'!P10="Unknown"),1,0),IF(AND(K10="Must",'Manual Inputs'!S10=""),1,0),IF(AND(L10="Must",'Manual Inputs'!X10=""),1,0),IF(AND(M10="Must",'Manual Inputs'!X10=""),1,0))</x:f>
        <x:v>3</x:v>
      </x:c>
      <x:c r="P10" s="14" t="n">
        <x:f>IF(O10=0,80,IF(O10&lt;=2,60,IF(O10&lt;=4,45,30)))</x:f>
        <x:v>45</x:v>
      </x:c>
      <x:c r="Q10" s="14" t="str">
        <x:f>IF(P10&lt;45,"Wait Only",IF(P10&lt;60,"No Attack",IF(P10&lt;80,"Build/Hold Only","No Cap")))</x:f>
        <x:v>No Attack</x:v>
      </x:c>
      <x:c r="R10" s="14" t="str">
        <x:v>太空主题高弹性，重点防止追尾部。</x:v>
      </x:c>
      <x:c r="S10" s="14" t="str">
        <x:v>Yes if no setup</x:v>
      </x:c>
      <x:c r="T10" s="14" t="str"/>
      <x:c r="U10" s="14" t="str">
        <x:v>2026-05-24</x:v>
      </x:c>
    </x:row>
    <x:row r="11">
      <x:c r="A11" s="14" t="str">
        <x:v>IONQ</x:v>
      </x:c>
      <x:c r="B11" s="14" t="str">
        <x:v>Tactical Theme</x:v>
      </x:c>
      <x:c r="C11" s="14" t="str">
        <x:v>P2</x:v>
      </x:c>
      <x:c r="D11" s="14" t="str">
        <x:v>Must</x:v>
      </x:c>
      <x:c r="E11" s="14" t="str">
        <x:v>Must</x:v>
      </x:c>
      <x:c r="F11" s="14" t="str">
        <x:v>Should</x:v>
      </x:c>
      <x:c r="G11" s="14" t="str">
        <x:v>Must</x:v>
      </x:c>
      <x:c r="H11" s="14" t="str">
        <x:v>Should</x:v>
      </x:c>
      <x:c r="I11" s="14" t="str">
        <x:v>Optional</x:v>
      </x:c>
      <x:c r="J11" s="14" t="str">
        <x:v>Should</x:v>
      </x:c>
      <x:c r="K11" s="14" t="str">
        <x:v>Must</x:v>
      </x:c>
      <x:c r="L11" s="14" t="str">
        <x:v>Optional</x:v>
      </x:c>
      <x:c r="M11" s="14" t="str">
        <x:v>Optional</x:v>
      </x:c>
      <x:c r="N11" s="14" t="str">
        <x:v>Optional</x:v>
      </x:c>
      <x:c r="O11" s="14" t="n">
        <x:f>SUM(IF(AND(D11="Must",OR('Manual Inputs'!G11="",'Manual Inputs'!AC11="Missing")),1,0),IF(AND(E11="Must",OR('Manual Inputs'!I11="",'Manual Inputs'!I11=0)),1,0),IF(AND(F11="Must",OR('Manual Inputs'!J11="Unknown",'Manual Inputs'!K11="Unknown")),1,0),IF(AND(G11="Must",OR('Manual Inputs'!M11="",'Manual Inputs'!M11=0)),1,0),IF(AND(H11="Must",OR('Manual Inputs'!N11="",'Manual Inputs'!N11=0)),1,0),IF(AND(I11="Must",'Manual Inputs'!O11="Unknown"),1,0),IF(AND(J11="Must",'Manual Inputs'!P11="Unknown"),1,0),IF(AND(K11="Must",'Manual Inputs'!S11=""),1,0),IF(AND(L11="Must",'Manual Inputs'!X11=""),1,0),IF(AND(M11="Must",'Manual Inputs'!X11=""),1,0))</x:f>
        <x:v>3</x:v>
      </x:c>
      <x:c r="P11" s="14" t="n">
        <x:f>IF(O11=0,80,IF(O11&lt;=2,60,IF(O11&lt;=4,45,30)))</x:f>
        <x:v>45</x:v>
      </x:c>
      <x:c r="Q11" s="14" t="str">
        <x:f>IF(P11&lt;45,"Wait Only",IF(P11&lt;60,"No Attack",IF(P11&lt;80,"Build/Hold Only","No Cap")))</x:f>
        <x:v>No Attack</x:v>
      </x:c>
      <x:c r="R11" s="14" t="str">
        <x:v>量子主题高波动，重点区分龙头确认和散户尾部狂欢。</x:v>
      </x:c>
      <x:c r="S11" s="14" t="str">
        <x:v>Yes if no setup</x:v>
      </x:c>
      <x:c r="T11" s="14" t="str"/>
      <x:c r="U11" s="14" t="str">
        <x:v>2026-05-24</x:v>
      </x:c>
    </x:row>
  </x:sheetData>
  <x:mergeCells>
    <x:mergeCell ref="W1:AB1"/>
  </x:mergeCells>
  <x:conditionalFormatting sqref="O2:O200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P2:P200">
    <x:cfRule type="colorScale" priority="2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Q2:Q200">
    <x:cfRule type="expression" dxfId="5" priority="3">
      <x:formula>Q2="Wait Only"</x:formula>
    </x:cfRule>
    <x:cfRule type="expression" dxfId="6" priority="4">
      <x:formula>Q2="No Attack"</x:formula>
    </x:cfRule>
    <x:cfRule type="expression" dxfId="7" priority="5">
      <x:formula>Q2="No Cap"</x:formula>
    </x:cfRule>
  </x:conditionalFormatting>
  <x:dataValidations count="13">
    <x:dataValidation type="list" sqref="D2:D200">
      <x:formula1>"Must,Should,Optional,Skip"</x:formula1>
    </x:dataValidation>
    <x:dataValidation type="list" sqref="E2:E200">
      <x:formula1>"Must,Should,Optional,Skip"</x:formula1>
    </x:dataValidation>
    <x:dataValidation type="list" sqref="F2:F200">
      <x:formula1>"Must,Should,Optional,Skip"</x:formula1>
    </x:dataValidation>
    <x:dataValidation type="list" sqref="G2:G200">
      <x:formula1>"Must,Should,Optional,Skip"</x:formula1>
    </x:dataValidation>
    <x:dataValidation type="list" sqref="H2:H200">
      <x:formula1>"Must,Should,Optional,Skip"</x:formula1>
    </x:dataValidation>
    <x:dataValidation type="list" sqref="I2:I200">
      <x:formula1>"Must,Should,Optional,Skip"</x:formula1>
    </x:dataValidation>
    <x:dataValidation type="list" sqref="J2:J200">
      <x:formula1>"Must,Should,Optional,Skip"</x:formula1>
    </x:dataValidation>
    <x:dataValidation type="list" sqref="K2:K200">
      <x:formula1>"Must,Should,Optional,Skip"</x:formula1>
    </x:dataValidation>
    <x:dataValidation type="list" sqref="L2:L200">
      <x:formula1>"Must,Should,Optional,Skip"</x:formula1>
    </x:dataValidation>
    <x:dataValidation type="list" sqref="M2:M200">
      <x:formula1>"Must,Should,Optional,Skip"</x:formula1>
    </x:dataValidation>
    <x:dataValidation type="list" sqref="N2:N200">
      <x:formula1>"Must,Should,Optional,Skip"</x:formula1>
    </x:dataValidation>
    <x:dataValidation type="list" sqref="C2:C200">
      <x:formula1>"P0,P1,P2,P3"</x:formula1>
    </x:dataValidation>
    <x:dataValidation type="list" sqref="S2:S200">
      <x:formula1>"No,Yes if no setup,If no event,Only if no position,Yes"</x:formula1>
    </x:dataValidation>
  </x:dataValidations>
  <x:pageMargins left="0.7" right="0.7" top="0.75" bottom="0.75" header="0.3" footer="0.3"/>
  <x:drawing xmlns:r="http://schemas.openxmlformats.org/officeDocument/2006/relationships" r:id="R1730570ce6bc4ea8"/>
  <x:tableParts count="1">
    <x:tablePart xmlns:r="http://schemas.openxmlformats.org/officeDocument/2006/relationships" r:id="R4ae806afcb0f4259"/>
  </x:tableParts>
</x:worksheet>
</file>